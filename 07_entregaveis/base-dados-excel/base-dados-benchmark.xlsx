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ainel" sheetId="2" state="visible" r:id="rId2"/>
    <sheet name="Classificação" sheetId="3" state="visible" r:id="rId3"/>
    <sheet name="Fichas" sheetId="4" state="visible" r:id="rId4"/>
    <sheet name="Régua" sheetId="5" state="visible" r:id="rId5"/>
    <sheet name="Fontes" sheetId="6" state="visible" r:id="rId6"/>
  </sheets>
  <definedNames>
    <definedName name="_xlnm._FilterDatabase" localSheetId="2" hidden="1">'Classificação'!$A$1:$S$2</definedName>
    <definedName name="_xlnm._FilterDatabase" localSheetId="5" hidden="1">'Fontes'!$A$1:$M$124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hakra Petch"/>
      <b val="1"/>
      <i val="1"/>
      <color rgb="002F8B1F"/>
      <sz val="18"/>
    </font>
    <font>
      <name val="Chakra Petch"/>
      <b val="1"/>
      <color rgb="007C8678"/>
      <sz val="9"/>
    </font>
    <font>
      <name val="Manrope"/>
      <sz val="10"/>
    </font>
    <font>
      <name val="Chakra Petch"/>
      <b val="1"/>
      <color rgb="002F8B1F"/>
      <sz val="12"/>
    </font>
    <font>
      <name val="Manrope"/>
      <b val="1"/>
      <sz val="10"/>
    </font>
    <font>
      <name val="JetBrains Mono"/>
      <sz val="10"/>
    </font>
    <font>
      <name val="Manrope"/>
      <b val="1"/>
      <color rgb="00FFFFFF"/>
      <sz val="10"/>
    </font>
    <font>
      <name val="Manrope"/>
      <i val="1"/>
      <color rgb="007C8678"/>
      <sz val="10"/>
    </font>
  </fonts>
  <fills count="4">
    <fill>
      <patternFill/>
    </fill>
    <fill>
      <patternFill patternType="gray125"/>
    </fill>
    <fill>
      <patternFill patternType="solid">
        <fgColor rgb="000B100B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bottom style="thin">
        <color rgb="00DCD7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164" fontId="8" fillId="3" borderId="1" applyAlignment="1" pivotButton="0" quotePrefix="0" xfId="0">
      <alignment vertical="top" wrapText="1"/>
    </xf>
    <xf numFmtId="0" fontId="7" fillId="2" borderId="0" pivotButton="0" quotePrefix="0" xfId="0"/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Base de dados do benchmark</t>
        </is>
      </c>
    </row>
    <row r="3">
      <c r="A3" s="2" t="inlineStr">
        <is>
          <t>CONTRATANTE</t>
        </is>
      </c>
      <c r="B3" s="3" t="inlineStr">
        <is>
          <t>Acelen Energia Renovável</t>
        </is>
      </c>
    </row>
    <row r="4">
      <c r="A4" s="2" t="inlineStr">
        <is>
          <t>DOCUMENTO</t>
        </is>
      </c>
      <c r="B4" s="3" t="inlineStr">
        <is>
          <t>Base de dados do benchmark — Benchmarking de uso de IA</t>
        </is>
      </c>
    </row>
    <row r="5">
      <c r="A5" s="2" t="inlineStr">
        <is>
          <t>Nº / REVISÃO</t>
        </is>
      </c>
      <c r="B5" s="3" t="inlineStr">
        <is>
          <t>BIA-ACL-BD-01 · Rev. 00</t>
        </is>
      </c>
    </row>
    <row r="6">
      <c r="A6" s="2" t="inlineStr">
        <is>
          <t>RESPONSÁVEIS</t>
        </is>
      </c>
      <c r="B6" s="3" t="inlineStr">
        <is>
          <t>Dr. Guilherme M. Sanches · Rafael Rotiroti — OagronomIA</t>
        </is>
      </c>
    </row>
    <row r="7">
      <c r="A7" s="2" t="inlineStr">
        <is>
          <t>GERADO EM</t>
        </is>
      </c>
      <c r="B7" s="3" t="inlineStr">
        <is>
          <t>30/09/2026</t>
        </is>
      </c>
    </row>
    <row r="9">
      <c r="A9" s="4" t="inlineStr">
        <is>
          <t>Abas</t>
        </is>
      </c>
    </row>
    <row r="10">
      <c r="A10" s="5" t="inlineStr">
        <is>
          <t>Painel</t>
        </is>
      </c>
      <c r="B10" s="6" t="inlineStr">
        <is>
          <t>Empresas do painel: identificação, setor, porte e situação da ficha.</t>
        </is>
      </c>
    </row>
    <row r="11">
      <c r="A11" s="5" t="inlineStr">
        <is>
          <t>Classificação</t>
        </is>
      </c>
      <c r="B11" s="6" t="inlineStr">
        <is>
          <t>Notas de 1 a 5 por dimensão, com confiança A, B ou C, e o estágio consolidado calculado por fórmula. Lentes de IA generativa e campo de 0 a 5.</t>
        </is>
      </c>
    </row>
    <row r="12">
      <c r="A12" s="5" t="inlineStr">
        <is>
          <t>Fichas</t>
        </is>
      </c>
      <c r="B12" s="6" t="inlineStr">
        <is>
          <t>Síntese, casos, lições e lacunas de cada ficha, com os IDs das fontes.</t>
        </is>
      </c>
    </row>
    <row r="13">
      <c r="A13" s="5" t="inlineStr">
        <is>
          <t>Régua</t>
        </is>
      </c>
      <c r="B13" s="6" t="inlineStr">
        <is>
          <t>Estágios e critérios de cada nível, por dimensão e por lente.</t>
        </is>
      </c>
    </row>
    <row r="14">
      <c r="A14" s="5" t="inlineStr">
        <is>
          <t>Fontes</t>
        </is>
      </c>
      <c r="B14" s="6" t="inlineStr">
        <is>
          <t>Catálogo de fontes. Toda afirmação do estudo aponta para um ID desta aba.</t>
        </is>
      </c>
    </row>
    <row r="16">
      <c r="A16" s="4" t="inlineStr">
        <is>
          <t>Regras</t>
        </is>
      </c>
    </row>
    <row r="17">
      <c r="A17" s="5" t="inlineStr">
        <is>
          <t>Sem evidência, sem nota</t>
        </is>
      </c>
      <c r="B17" s="6" t="inlineStr">
        <is>
          <t>Célula de nota vazia significa falta de evidência pública, não nota 1.</t>
        </is>
      </c>
    </row>
    <row r="18">
      <c r="A18" s="5" t="inlineStr">
        <is>
          <t>Confiança</t>
        </is>
      </c>
      <c r="B18" s="6" t="inlineStr">
        <is>
          <t>A: fonte primária (a própria empresa ou o autor do estudo). B: secundária qualificada. C: indireta. Notas 4 e 5 exigem A.</t>
        </is>
      </c>
    </row>
    <row r="19">
      <c r="A19" s="5" t="inlineStr">
        <is>
          <t>Estágio consolidado</t>
        </is>
      </c>
      <c r="B19" s="6" t="inlineStr">
        <is>
          <t>Mediana das quatro notas, limitada pela nota de Dados + 1. Exige ao menos três notas, entre elas a de Dados. Mediana entre dois estágios indica transição (ex.: 3→4, valor 3,5).</t>
        </is>
      </c>
    </row>
    <row r="20">
      <c r="A20" s="5" t="inlineStr">
        <is>
          <t>Níveis das lentes</t>
        </is>
      </c>
      <c r="B20" s="6" t="inlineStr">
        <is>
          <t>0 = sem evidência; 1 a 5 conforme a aba Régua. As lentes não entram no estágio consolidado.</t>
        </is>
      </c>
    </row>
    <row r="22">
      <c r="A22" s="4" t="inlineStr">
        <is>
          <t>Como atualizar</t>
        </is>
      </c>
    </row>
    <row r="23">
      <c r="A23" s="5" t="inlineStr">
        <is>
          <t>Não edite à mão</t>
        </is>
      </c>
      <c r="B23" s="6" t="inlineStr">
        <is>
          <t>Esta base é gerada a partir das fichas (02_frente-1_benchmark-estrategico/fichas-benchmark), do catálogo (06_fontes/catalogo-fontes.csv) e da régua (03_frente-2_maturidade-roadmaps/regua-classificacao.md).</t>
        </is>
      </c>
    </row>
    <row r="24">
      <c r="A24" s="5" t="inlineStr">
        <is>
          <t>Comando</t>
        </is>
      </c>
      <c r="B24" s="7" t="inlineStr">
        <is>
          <t>uv run --with openpyxl --with pyyaml python 07_entregaveis/base-dados-excel/src/gerar_base.py</t>
        </is>
      </c>
    </row>
    <row r="26">
      <c r="A26" s="4" t="inlineStr">
        <is>
          <t>Situação</t>
        </is>
      </c>
      <c r="B26" s="3" t="inlineStr">
        <is>
          <t>0 ficha(s) · 123 fonte(s) no catálogo. Ainda não há fichas: a aba Classificação traz uma linha de exemplo, marcada, só para mostrar o cálculo.</t>
        </is>
      </c>
    </row>
  </sheetData>
  <pageMargins left="0.75" right="0.75" top="1" bottom="1" header="0.5" footer="0.5"/>
  <headerFooter>
    <oddHeader/>
    <oddFooter>&amp;C&amp;8 Acelen Energia Renovável · Base de dados do benchmark · BIA-ACL-BD-01 · Rev. 00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20" customWidth="1" min="5" max="5"/>
    <col width="12" customWidth="1" min="6" max="6"/>
    <col width="14" customWidth="1" min="7" max="7"/>
    <col width="36" customWidth="1" min="8" max="8"/>
    <col width="16" customWidth="1" min="9" max="9"/>
    <col width="12" customWidth="1" min="10" max="10"/>
    <col width="12" customWidth="1" min="11" max="11"/>
    <col width="14" customWidth="1" min="12" max="12"/>
    <col width="48" customWidth="1" min="13" max="13"/>
  </cols>
  <sheetData>
    <row r="1" ht="30" customHeight="1">
      <c r="A1" s="8" t="inlineStr">
        <is>
          <t>ID</t>
        </is>
      </c>
      <c r="B1" s="8" t="inlineStr">
        <is>
          <t>Empresa</t>
        </is>
      </c>
      <c r="C1" s="8" t="inlineStr">
        <is>
          <t>Grupo</t>
        </is>
      </c>
      <c r="D1" s="8" t="inlineStr">
        <is>
          <t>Setor</t>
        </is>
      </c>
      <c r="E1" s="8" t="inlineStr">
        <is>
          <t>Subsetor</t>
        </is>
      </c>
      <c r="F1" s="8" t="inlineStr">
        <is>
          <t>País</t>
        </is>
      </c>
      <c r="G1" s="8" t="inlineStr">
        <is>
          <t>Capital</t>
        </is>
      </c>
      <c r="H1" s="8" t="inlineStr">
        <is>
          <t>Porte</t>
        </is>
      </c>
      <c r="I1" s="8" t="inlineStr">
        <is>
          <t>Situação da ficha</t>
        </is>
      </c>
      <c r="J1" s="8" t="inlineStr">
        <is>
          <t>Responsável</t>
        </is>
      </c>
      <c r="K1" s="8" t="inlineStr">
        <is>
          <t>Revisor</t>
        </is>
      </c>
      <c r="L1" s="8" t="inlineStr">
        <is>
          <t>Atualizado em</t>
        </is>
      </c>
      <c r="M1" s="8" t="inlineStr">
        <is>
          <t>Arquivo</t>
        </is>
      </c>
    </row>
  </sheetData>
  <pageMargins left="0.75" right="0.75" top="1" bottom="1" header="0.5" footer="0.5"/>
  <pageSetup orientation="landscape" fitToHeight="0" fitToWidth="1"/>
  <headerFooter>
    <oddHeader/>
    <oddFooter>&amp;C&amp;8 Acelen Energia Renovável · Base de dados do benchmark · BIA-ACL-BD-01 · Rev. 00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2" customWidth="1" min="4" max="4"/>
    <col width="7" customWidth="1" min="5" max="5"/>
    <col width="10" customWidth="1" min="6" max="6"/>
    <col width="7" customWidth="1" min="7" max="7"/>
    <col width="13" customWidth="1" min="8" max="8"/>
    <col width="7" customWidth="1" min="9" max="9"/>
    <col width="12" customWidth="1" min="10" max="10"/>
    <col width="7" customWidth="1" min="11" max="11"/>
    <col width="8" customWidth="1" min="12" max="12"/>
    <col width="10" customWidth="1" min="13" max="13"/>
    <col width="11" customWidth="1" min="14" max="14"/>
    <col width="11" customWidth="1" min="15" max="15"/>
    <col width="16" customWidth="1" min="16" max="16"/>
    <col width="34" customWidth="1" min="17" max="17"/>
    <col width="12" customWidth="1" min="18" max="18"/>
    <col width="12" customWidth="1" min="19" max="19"/>
  </cols>
  <sheetData>
    <row r="1" ht="30" customHeight="1">
      <c r="A1" s="8" t="inlineStr">
        <is>
          <t>ID</t>
        </is>
      </c>
      <c r="B1" s="8" t="inlineStr">
        <is>
          <t>Empresa</t>
        </is>
      </c>
      <c r="C1" s="8" t="inlineStr">
        <is>
          <t>Setor</t>
        </is>
      </c>
      <c r="D1" s="8" t="inlineStr">
        <is>
          <t>Governança</t>
        </is>
      </c>
      <c r="E1" s="8" t="inlineStr">
        <is>
          <t>Conf.</t>
        </is>
      </c>
      <c r="F1" s="8" t="inlineStr">
        <is>
          <t>Dados</t>
        </is>
      </c>
      <c r="G1" s="8" t="inlineStr">
        <is>
          <t>Conf.</t>
        </is>
      </c>
      <c r="H1" s="8" t="inlineStr">
        <is>
          <t>Organização</t>
        </is>
      </c>
      <c r="I1" s="8" t="inlineStr">
        <is>
          <t>Conf.</t>
        </is>
      </c>
      <c r="J1" s="8" t="inlineStr">
        <is>
          <t>Aplicações</t>
        </is>
      </c>
      <c r="K1" s="8" t="inlineStr">
        <is>
          <t>Conf.</t>
        </is>
      </c>
      <c r="L1" s="8" t="inlineStr">
        <is>
          <t>Notas</t>
        </is>
      </c>
      <c r="M1" s="8" t="inlineStr">
        <is>
          <t>Mediana</t>
        </is>
      </c>
      <c r="N1" s="8" t="inlineStr">
        <is>
          <t>Teto (Dados + 1)</t>
        </is>
      </c>
      <c r="O1" s="8" t="inlineStr">
        <is>
          <t>Estágio (valor)</t>
        </is>
      </c>
      <c r="P1" s="8" t="inlineStr">
        <is>
          <t>Estágio</t>
        </is>
      </c>
      <c r="Q1" s="8" t="inlineStr">
        <is>
          <t>Nome do estágio</t>
        </is>
      </c>
      <c r="R1" s="8" t="inlineStr">
        <is>
          <t>Lente IA generativa</t>
        </is>
      </c>
      <c r="S1" s="8" t="inlineStr">
        <is>
          <t>Lente campo</t>
        </is>
      </c>
    </row>
    <row r="2">
      <c r="A2" s="9" t="inlineStr">
        <is>
          <t>EX</t>
        </is>
      </c>
      <c r="B2" s="9" t="inlineStr">
        <is>
          <t>Exemplo ilustrativo — não faz parte do painel</t>
        </is>
      </c>
      <c r="C2" s="9" t="inlineStr">
        <is>
          <t>—</t>
        </is>
      </c>
      <c r="D2" s="9" t="n">
        <v>3</v>
      </c>
      <c r="E2" s="9" t="inlineStr">
        <is>
          <t>A</t>
        </is>
      </c>
      <c r="F2" s="9" t="n">
        <v>3</v>
      </c>
      <c r="G2" s="9" t="inlineStr">
        <is>
          <t>A</t>
        </is>
      </c>
      <c r="H2" s="9" t="n">
        <v>4</v>
      </c>
      <c r="I2" s="9" t="inlineStr">
        <is>
          <t>A</t>
        </is>
      </c>
      <c r="J2" s="9" t="n">
        <v>4</v>
      </c>
      <c r="K2" s="9" t="inlineStr">
        <is>
          <t>A</t>
        </is>
      </c>
      <c r="L2" s="9">
        <f>COUNT(D2,F2,H2,J2)</f>
        <v/>
      </c>
      <c r="M2" s="10">
        <f>IF(L2=0,"",MEDIAN(D2,F2,H2,J2))</f>
        <v/>
      </c>
      <c r="N2" s="9">
        <f>IF(F2="","",F2+1)</f>
        <v/>
      </c>
      <c r="O2" s="10">
        <f>IF(OR(L2&lt;3,F2=""),"",MIN(M2,N2))</f>
        <v/>
      </c>
      <c r="P2" s="9">
        <f>IF(O2="","Evidência insuficiente",IF(O2=INT(O2),INT(O2)&amp;"",INT(O2)&amp;"→"&amp;(INT(O2)+1)))</f>
        <v/>
      </c>
      <c r="Q2" s="9">
        <f>IF(O2="","",IF(O2=INT(O2),CHOOSE(O2,"Exploração","Pilotos","Operacionalização","Escala","Transformação"),CHOOSE(INT(O2),"Exploração","Pilotos","Operacionalização","Escala","Transformação")&amp;" → "&amp;CHOOSE(INT(O2)+1,"Exploração","Pilotos","Operacionalização","Escala","Transformação")))</f>
        <v/>
      </c>
      <c r="R2" s="9" t="n">
        <v>3</v>
      </c>
      <c r="S2" s="9" t="n">
        <v>2</v>
      </c>
    </row>
  </sheetData>
  <autoFilter ref="A1:S2"/>
  <conditionalFormatting sqref="D2">
    <cfRule type="colorScale" priority="1">
      <colorScale>
        <cfvo type="num" val="1"/>
        <cfvo type="num" val="3"/>
        <cfvo type="num" val="5"/>
        <color rgb="00EAE6DA"/>
        <color rgb="009BE05F"/>
        <color rgb="0052C937"/>
      </colorScale>
    </cfRule>
  </conditionalFormatting>
  <conditionalFormatting sqref="F2">
    <cfRule type="colorScale" priority="1">
      <colorScale>
        <cfvo type="num" val="1"/>
        <cfvo type="num" val="3"/>
        <cfvo type="num" val="5"/>
        <color rgb="00EAE6DA"/>
        <color rgb="009BE05F"/>
        <color rgb="0052C937"/>
      </colorScale>
    </cfRule>
  </conditionalFormatting>
  <conditionalFormatting sqref="H2">
    <cfRule type="colorScale" priority="1">
      <colorScale>
        <cfvo type="num" val="1"/>
        <cfvo type="num" val="3"/>
        <cfvo type="num" val="5"/>
        <color rgb="00EAE6DA"/>
        <color rgb="009BE05F"/>
        <color rgb="0052C937"/>
      </colorScale>
    </cfRule>
  </conditionalFormatting>
  <conditionalFormatting sqref="J2">
    <cfRule type="colorScale" priority="1">
      <colorScale>
        <cfvo type="num" val="1"/>
        <cfvo type="num" val="3"/>
        <cfvo type="num" val="5"/>
        <color rgb="00EAE6DA"/>
        <color rgb="009BE05F"/>
        <color rgb="0052C937"/>
      </colorScale>
    </cfRule>
  </conditionalFormatting>
  <conditionalFormatting sqref="O2">
    <cfRule type="colorScale" priority="1">
      <colorScale>
        <cfvo type="num" val="1"/>
        <cfvo type="num" val="3"/>
        <cfvo type="num" val="5"/>
        <color rgb="00EAE6DA"/>
        <color rgb="009BE05F"/>
        <color rgb="0052C937"/>
      </colorScale>
    </cfRule>
  </conditionalFormatting>
  <pageMargins left="0.75" right="0.75" top="1" bottom="1" header="0.5" footer="0.5"/>
  <pageSetup orientation="landscape" fitToHeight="0" fitToWidth="1"/>
  <headerFooter>
    <oddHeader/>
    <oddFooter>&amp;C&amp;8 Acelen Energia Renovável · Base de dados do benchmark · BIA-ACL-BD-01 · Rev. 00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0" customWidth="1" min="3" max="3"/>
    <col width="50" customWidth="1" min="4" max="4"/>
    <col width="50" customWidth="1" min="5" max="5"/>
    <col width="40" customWidth="1" min="6" max="6"/>
    <col width="36" customWidth="1" min="7" max="7"/>
    <col width="20" customWidth="1" min="8" max="8"/>
    <col width="44" customWidth="1" min="9" max="9"/>
  </cols>
  <sheetData>
    <row r="1" ht="30" customHeight="1">
      <c r="A1" s="8" t="inlineStr">
        <is>
          <t>ID</t>
        </is>
      </c>
      <c r="B1" s="8" t="inlineStr">
        <is>
          <t>Empresa</t>
        </is>
      </c>
      <c r="C1" s="8" t="inlineStr">
        <is>
          <t>Síntese</t>
        </is>
      </c>
      <c r="D1" s="8" t="inlineStr">
        <is>
          <t>O que funcionou</t>
        </is>
      </c>
      <c r="E1" s="8" t="inlineStr">
        <is>
          <t>O que não funcionou ou travou</t>
        </is>
      </c>
      <c r="F1" s="8" t="inlineStr">
        <is>
          <t>Lições</t>
        </is>
      </c>
      <c r="G1" s="8" t="inlineStr">
        <is>
          <t>Lacunas de evidência</t>
        </is>
      </c>
      <c r="H1" s="8" t="inlineStr">
        <is>
          <t>Fontes</t>
        </is>
      </c>
      <c r="I1" s="8" t="inlineStr">
        <is>
          <t>Arquivo</t>
        </is>
      </c>
    </row>
  </sheetData>
  <pageMargins left="0.75" right="0.75" top="1" bottom="1" header="0.5" footer="0.5"/>
  <pageSetup orientation="landscape" fitToHeight="0" fitToWidth="1"/>
  <headerFooter>
    <oddHeader/>
    <oddFooter>&amp;C&amp;8 Acelen Energia Renovável · Base de dados do benchmark · BIA-ACL-BD-01 · Rev. 00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60" customWidth="1" min="4" max="4"/>
  </cols>
  <sheetData>
    <row r="1">
      <c r="A1" s="4" t="inlineStr">
        <is>
          <t>Estágios</t>
        </is>
      </c>
    </row>
    <row r="2">
      <c r="A2" s="11" t="inlineStr">
        <is>
          <t>Estágio</t>
        </is>
      </c>
      <c r="B2" s="11" t="inlineStr">
        <is>
          <t>Nome</t>
        </is>
      </c>
      <c r="C2" s="11" t="inlineStr">
        <is>
          <t>Natureza do uso</t>
        </is>
      </c>
      <c r="D2" s="11" t="inlineStr">
        <is>
          <t>Descrição</t>
        </is>
      </c>
    </row>
    <row r="3">
      <c r="A3" s="12" t="n">
        <v>1</v>
      </c>
      <c r="B3" s="13" t="inlineStr">
        <is>
          <t>Exploração</t>
        </is>
      </c>
      <c r="C3" s="13" t="inlineStr">
        <is>
          <t>Uso exploratório</t>
        </is>
      </c>
      <c r="D3" s="13" t="inlineStr">
        <is>
          <t>Uso individual e informal de IA; dados fragmentados em planilhas e silos.</t>
        </is>
      </c>
    </row>
    <row r="4">
      <c r="A4" s="12" t="n">
        <v>2</v>
      </c>
      <c r="B4" s="13" t="inlineStr">
        <is>
          <t>Pilotos</t>
        </is>
      </c>
      <c r="C4" s="13" t="inlineStr">
        <is>
          <t>Apoio à decisão em teste</t>
        </is>
      </c>
      <c r="D4" s="13" t="inlineStr">
        <is>
          <t>Provas de conceito com escopo e métrica; primeiros dados organizados.</t>
        </is>
      </c>
    </row>
    <row r="5">
      <c r="A5" s="12" t="n">
        <v>3</v>
      </c>
      <c r="B5" s="13" t="inlineStr">
        <is>
          <t>Operacionalização</t>
        </is>
      </c>
      <c r="C5" s="13" t="inlineStr">
        <is>
          <t>Apoio à decisão em produção</t>
        </is>
      </c>
      <c r="D5" s="13" t="inlineStr">
        <is>
          <t>Primeiro caso em produção; plataforma de dados unificada; governança formal.</t>
        </is>
      </c>
    </row>
    <row r="6">
      <c r="A6" s="12" t="n">
        <v>4</v>
      </c>
      <c r="B6" s="13" t="inlineStr">
        <is>
          <t>Escala</t>
        </is>
      </c>
      <c r="C6" s="13" t="inlineStr">
        <is>
          <t>Automação inteligente</t>
        </is>
      </c>
      <c r="D6" s="13" t="inlineStr">
        <is>
          <t>IA embutida nos processos-chave; dados como produto; centro de excelência.</t>
        </is>
      </c>
    </row>
    <row r="7">
      <c r="A7" s="12" t="n">
        <v>5</v>
      </c>
      <c r="B7" s="13" t="inlineStr">
        <is>
          <t>Transformação</t>
        </is>
      </c>
      <c r="C7" s="13" t="inlineStr">
        <is>
          <t>Sistemas autônomos</t>
        </is>
      </c>
      <c r="D7" s="13" t="inlineStr">
        <is>
          <t>IA no modelo de negócio; agentes e máquinas autônomas com supervisão por exceção.</t>
        </is>
      </c>
    </row>
    <row r="9">
      <c r="A9" s="4" t="inlineStr">
        <is>
          <t>Governança de IA</t>
        </is>
      </c>
    </row>
    <row r="10">
      <c r="A10" s="11" t="inlineStr">
        <is>
          <t>Nível</t>
        </is>
      </c>
      <c r="B10" s="11" t="inlineStr"/>
      <c r="C10" s="11" t="inlineStr">
        <is>
          <t>Critério</t>
        </is>
      </c>
      <c r="D10" s="11" t="inlineStr">
        <is>
          <t>Evidência pública típica</t>
        </is>
      </c>
    </row>
    <row r="11">
      <c r="A11" s="12" t="n">
        <v>1</v>
      </c>
      <c r="B11" s="13" t="inlineStr"/>
      <c r="C11" s="13" t="inlineStr">
        <is>
          <t>Nenhuma instância, política ou patrocínio de IA evidenciados.</t>
        </is>
      </c>
      <c r="D11" s="13" t="inlineStr">
        <is>
          <t>IA ausente dos relatórios; iniciativas isoladas citadas na imprensa.</t>
        </is>
      </c>
    </row>
    <row r="12">
      <c r="A12" s="12" t="n">
        <v>2</v>
      </c>
      <c r="B12" s="13" t="inlineStr"/>
      <c r="C12" s="13" t="inlineStr">
        <is>
          <t>Patrocínio executivo explícito e ao menos uma regra formal de uso de IA.</t>
        </is>
      </c>
      <c r="D12" s="13" t="inlineStr">
        <is>
          <t>Alta liderança cita IA como prioridade; política de uso de IA generativa ou diretriz para dados sensíveis.</t>
        </is>
      </c>
    </row>
    <row r="13">
      <c r="A13" s="12" t="n">
        <v>3</v>
      </c>
      <c r="B13" s="13" t="inlineStr"/>
      <c r="C13" s="13" t="inlineStr">
        <is>
          <t>Instância formal que decide sobre IA, com gestão de riscos associada.</t>
        </is>
      </c>
      <c r="D13" s="13" t="inlineStr">
        <is>
          <t>Comitê ou área dona do tema, com mandato descrito; política corporativa de IA; riscos de IA tratados em privacidade e segurança.</t>
        </is>
      </c>
    </row>
    <row r="14">
      <c r="A14" s="12" t="n">
        <v>4</v>
      </c>
      <c r="B14" s="13" t="inlineStr"/>
      <c r="C14" s="13" t="inlineStr">
        <is>
          <t>Governança de IA integrada à gestão de riscos e ao compliance corporativos, cobrindo TI e TO.</t>
        </is>
      </c>
      <c r="D14" s="13" t="inlineStr">
        <is>
          <t>Princípios de IA responsável publicados; inventário ou monitoramento de modelos; alinhamento declarado a referencial (ISO/IEC 42001, NIST AI RMF); IA no relatório de riscos.</t>
        </is>
      </c>
    </row>
    <row r="15">
      <c r="A15" s="12" t="n">
        <v>5</v>
      </c>
      <c r="B15" s="13" t="inlineStr"/>
      <c r="C15" s="13" t="inlineStr">
        <is>
          <t>Governança que habilita autonomia: limites de ação, supervisão e responsabilização para agentes e máquinas autônomas.</t>
        </is>
      </c>
      <c r="D15" s="13" t="inlineStr">
        <is>
          <t>Regras de supervisão por exceção descritas; auditoria de decisões automatizadas; certificação ou participação na definição de padrões do setor.</t>
        </is>
      </c>
    </row>
    <row r="17">
      <c r="A17" s="4" t="inlineStr">
        <is>
          <t>Dados</t>
        </is>
      </c>
    </row>
    <row r="18">
      <c r="A18" s="11" t="inlineStr">
        <is>
          <t>Nível</t>
        </is>
      </c>
      <c r="B18" s="11" t="inlineStr"/>
      <c r="C18" s="11" t="inlineStr">
        <is>
          <t>Critério</t>
        </is>
      </c>
      <c r="D18" s="11" t="inlineStr">
        <is>
          <t>Evidência pública típica</t>
        </is>
      </c>
    </row>
    <row r="19">
      <c r="A19" s="12" t="n">
        <v>1</v>
      </c>
      <c r="B19" s="13" t="inlineStr"/>
      <c r="C19" s="13" t="inlineStr">
        <is>
          <t>Dados dispersos em planilhas e sistemas isolados; sem estratégia de dados evidenciada.</t>
        </is>
      </c>
      <c r="D19" s="13" t="inlineStr">
        <is>
          <t>Digitalização incipiente; nenhuma menção a plataforma de dados.</t>
        </is>
      </c>
    </row>
    <row r="20">
      <c r="A20" s="12" t="n">
        <v>2</v>
      </c>
      <c r="B20" s="13" t="inlineStr"/>
      <c r="C20" s="13" t="inlineStr">
        <is>
          <t>Organização inicial dos dados: BI ou data warehouse corporativo e digitalização de processos de campo em curso.</t>
        </is>
      </c>
      <c r="D20" s="13" t="inlineStr">
        <is>
          <t>Painéis corporativos; sistema de gestão agrícola implantado; primeiros sensores ou telemetria.</t>
        </is>
      </c>
    </row>
    <row r="21">
      <c r="A21" s="12" t="n">
        <v>3</v>
      </c>
      <c r="B21" s="13" t="inlineStr"/>
      <c r="C21" s="13" t="inlineStr">
        <is>
          <t>Plataforma de dados unificada em operação, com governança de dados e conectividade nas áreas prioritárias do campo.</t>
        </is>
      </c>
      <c r="D21" s="13" t="inlineStr">
        <is>
          <t>Data lake ou lakehouse com dados de várias áreas; papéis de governança de dados; cobertura de conectividade divulgada.</t>
        </is>
      </c>
    </row>
    <row r="22">
      <c r="A22" s="12" t="n">
        <v>4</v>
      </c>
      <c r="B22" s="13" t="inlineStr"/>
      <c r="C22" s="13" t="inlineStr">
        <is>
          <t>Dados tratados como produto: domínios responsáveis e dados de campo integrados em escala, quase em tempo real.</t>
        </is>
      </c>
      <c r="D22" s="13" t="inlineStr">
        <is>
          <t>Arquitetura por domínios ou APIs de dados; telemetria de frota, imagens e sensores integrados; conectividade na maior parte da área.</t>
        </is>
      </c>
    </row>
    <row r="23">
      <c r="A23" s="12" t="n">
        <v>5</v>
      </c>
      <c r="B23" s="13" t="inlineStr"/>
      <c r="C23" s="13" t="inlineStr">
        <is>
          <t>Dados prontos para agentes e para o ecossistema: acesso governado por agentes e troca de dados com a cadeia.</t>
        </is>
      </c>
      <c r="D23" s="13" t="inlineStr">
        <is>
          <t>Controle de identidade e auditoria para agentes; compartilhamento de dados com parceiros sob contrato; dados na base de novos serviços.</t>
        </is>
      </c>
    </row>
    <row r="25">
      <c r="A25" s="4" t="inlineStr">
        <is>
          <t>Organização</t>
        </is>
      </c>
    </row>
    <row r="26">
      <c r="A26" s="11" t="inlineStr">
        <is>
          <t>Nível</t>
        </is>
      </c>
      <c r="B26" s="11" t="inlineStr"/>
      <c r="C26" s="11" t="inlineStr">
        <is>
          <t>Critério</t>
        </is>
      </c>
      <c r="D26" s="11" t="inlineStr">
        <is>
          <t>Evidência pública típica</t>
        </is>
      </c>
    </row>
    <row r="27">
      <c r="A27" s="12" t="n">
        <v>1</v>
      </c>
      <c r="B27" s="13" t="inlineStr"/>
      <c r="C27" s="13" t="inlineStr">
        <is>
          <t>Sem estrutura dedicada; iniciativas dependem de entusiastas.</t>
        </is>
      </c>
      <c r="D27" s="13" t="inlineStr">
        <is>
          <t>Nenhuma área, cargo ou programa de dados e IA mencionado.</t>
        </is>
      </c>
    </row>
    <row r="28">
      <c r="A28" s="12" t="n">
        <v>2</v>
      </c>
      <c r="B28" s="13" t="inlineStr"/>
      <c r="C28" s="13" t="inlineStr">
        <is>
          <t>Núcleo técnico, interno ou com parceiro, conduz os pilotos, com patrocinador nomeado.</t>
        </is>
      </c>
      <c r="D28" s="13" t="inlineStr">
        <is>
          <t>Laboratório de inovação; equipe de transformação digital; parceria com startup ou universidade para pilotos.</t>
        </is>
      </c>
    </row>
    <row r="29">
      <c r="A29" s="12" t="n">
        <v>3</v>
      </c>
      <c r="B29" s="13" t="inlineStr"/>
      <c r="C29" s="13" t="inlineStr">
        <is>
          <t>Área dedicada de dados e IA com liderança nomeada, papéis definidos com o negócio e programa de letramento.</t>
        </is>
      </c>
      <c r="D29" s="13" t="inlineStr">
        <is>
          <t>Diretoria ou gerência de dados e IA; cargo de CDO ou equivalente; programa de capacitação em dados.</t>
        </is>
      </c>
    </row>
    <row r="30">
      <c r="A30" s="12" t="n">
        <v>4</v>
      </c>
      <c r="B30" s="13" t="inlineStr"/>
      <c r="C30" s="13" t="inlineStr">
        <is>
          <t>Centro de excelência ou modelo federado, com times de produto no negócio e capacitação em escala.</t>
        </is>
      </c>
      <c r="D30" s="13" t="inlineStr">
        <is>
          <t>Centro de excelência em IA; times multidisciplinares nas áreas; capacitação de parcela relevante da força de trabalho; metas de adoção.</t>
        </is>
      </c>
    </row>
    <row r="31">
      <c r="A31" s="12" t="n">
        <v>5</v>
      </c>
      <c r="B31" s="13" t="inlineStr"/>
      <c r="C31" s="13" t="inlineStr">
        <is>
          <t>Organização redesenhada em torno da IA, com novos papéis para trabalhar com agentes e máquinas autônomas.</t>
        </is>
      </c>
      <c r="D31" s="13" t="inlineStr">
        <is>
          <t>Papéis de supervisão de agentes ou de operação remota de máquinas; IA nas decisões de estrutura e força de trabalho.</t>
        </is>
      </c>
    </row>
    <row r="33">
      <c r="A33" s="4" t="inlineStr">
        <is>
          <t>Aplicações</t>
        </is>
      </c>
    </row>
    <row r="34">
      <c r="A34" s="11" t="inlineStr">
        <is>
          <t>Nível</t>
        </is>
      </c>
      <c r="B34" s="11" t="inlineStr"/>
      <c r="C34" s="11" t="inlineStr">
        <is>
          <t>Critério</t>
        </is>
      </c>
      <c r="D34" s="11" t="inlineStr">
        <is>
          <t>Evidência pública típica</t>
        </is>
      </c>
    </row>
    <row r="35">
      <c r="A35" s="12" t="n">
        <v>1</v>
      </c>
      <c r="B35" s="13" t="inlineStr"/>
      <c r="C35" s="13" t="inlineStr">
        <is>
          <t>Usos pontuais ou experimentais, sem caso em produção evidenciado.</t>
        </is>
      </c>
      <c r="D35" s="13" t="inlineStr">
        <is>
          <t>Menções genéricas a IA; eventos e desafios de inovação.</t>
        </is>
      </c>
    </row>
    <row r="36">
      <c r="A36" s="12" t="n">
        <v>2</v>
      </c>
      <c r="B36" s="13" t="inlineStr"/>
      <c r="C36" s="13" t="inlineStr">
        <is>
          <t>Pilotos com escopo e objetivo divulgados, sobretudo de apoio à decisão.</t>
        </is>
      </c>
      <c r="D36" s="13" t="inlineStr">
        <is>
          <t>Provas de conceito anunciadas, como previsão de safra ou detecção de pragas por imagem em área-piloto.</t>
        </is>
      </c>
    </row>
    <row r="37">
      <c r="A37" s="12" t="n">
        <v>3</v>
      </c>
      <c r="B37" s="13" t="inlineStr"/>
      <c r="C37" s="13" t="inlineStr">
        <is>
          <t>Ao menos um caso em produção com resultado mensurável divulgado.</t>
        </is>
      </c>
      <c r="D37" s="13" t="inlineStr">
        <is>
          <t>Caso em operação com ganho quantificado em custo, produtividade ou perdas.</t>
        </is>
      </c>
    </row>
    <row r="38">
      <c r="A38" s="12" t="n">
        <v>4</v>
      </c>
      <c r="B38" s="13" t="inlineStr"/>
      <c r="C38" s="13" t="inlineStr">
        <is>
          <t>Portfólio em produção em vários processos-chave, com resultados recorrentes: automação inteligente em escala.</t>
        </is>
      </c>
      <c r="D38" s="13" t="inlineStr">
        <is>
          <t>Casos em operação agrícola, industrial, logística e corporativa; ganhos divulgados de forma recorrente.</t>
        </is>
      </c>
    </row>
    <row r="39">
      <c r="A39" s="12" t="n">
        <v>5</v>
      </c>
      <c r="B39" s="13" t="inlineStr"/>
      <c r="C39" s="13" t="inlineStr">
        <is>
          <t>IA no modelo de negócio e operações autônomas em escala comercial.</t>
        </is>
      </c>
      <c r="D39" s="13" t="inlineStr">
        <is>
          <t>Produtos ou serviços baseados em IA; agentes ou máquinas autônomas operando com supervisão por exceção.</t>
        </is>
      </c>
    </row>
    <row r="41">
      <c r="A41" s="4" t="inlineStr">
        <is>
          <t>Lente: IA generativa</t>
        </is>
      </c>
    </row>
    <row r="42">
      <c r="A42" s="11" t="inlineStr">
        <is>
          <t>Nível</t>
        </is>
      </c>
      <c r="B42" s="11" t="inlineStr"/>
      <c r="C42" s="11" t="inlineStr">
        <is>
          <t>Critério</t>
        </is>
      </c>
      <c r="D42" s="11" t="inlineStr">
        <is>
          <t>Evidência pública típica</t>
        </is>
      </c>
    </row>
    <row r="43">
      <c r="A43" s="12" t="n">
        <v>0</v>
      </c>
      <c r="B43" s="13" t="inlineStr"/>
      <c r="C43" s="13" t="inlineStr">
        <is>
          <t>Sem evidência.</t>
        </is>
      </c>
      <c r="D43" s="13" t="inlineStr">
        <is>
          <t>—</t>
        </is>
      </c>
    </row>
    <row r="44">
      <c r="A44" s="12" t="n">
        <v>1</v>
      </c>
      <c r="B44" s="13" t="inlineStr"/>
      <c r="C44" s="13" t="inlineStr">
        <is>
          <t>Uso individual e informal, ou política inicial de uso.</t>
        </is>
      </c>
      <c r="D44" s="13" t="inlineStr">
        <is>
          <t>Orientação interna sobre assistentes públicos; restrição de uso por segurança.</t>
        </is>
      </c>
    </row>
    <row r="45">
      <c r="A45" s="12" t="n">
        <v>2</v>
      </c>
      <c r="B45" s="13" t="inlineStr"/>
      <c r="C45" s="13" t="inlineStr">
        <is>
          <t>Pilotos de assistentes ou copilotos corporativos em ambiente controlado.</t>
        </is>
      </c>
      <c r="D45" s="13" t="inlineStr">
        <is>
          <t>Assistente liberado a grupo-piloto; provas de conceito em atendimento, jurídico ou código.</t>
        </is>
      </c>
    </row>
    <row r="46">
      <c r="A46" s="12" t="n">
        <v>3</v>
      </c>
      <c r="B46" s="13" t="inlineStr"/>
      <c r="C46" s="13" t="inlineStr">
        <is>
          <t>Assistente corporativo em produção sobre dados e documentos da empresa, com governança de uso.</t>
        </is>
      </c>
      <c r="D46" s="13" t="inlineStr">
        <is>
          <t>Assistente interno aberto a parcela relevante dos funcionários; consulta a documentos internos.</t>
        </is>
      </c>
    </row>
    <row r="47">
      <c r="A47" s="12" t="n">
        <v>4</v>
      </c>
      <c r="B47" s="13" t="inlineStr"/>
      <c r="C47" s="13" t="inlineStr">
        <is>
          <t>IA generativa integrada a processos-chave; agentes executam tarefas com aprovação humana.</t>
        </is>
      </c>
      <c r="D47" s="13" t="inlineStr">
        <is>
          <t>Copilotos em fluxos de trabalho; agentes que preparam e submetem tarefas para aprovação; valor medido.</t>
        </is>
      </c>
    </row>
    <row r="48">
      <c r="A48" s="12" t="n">
        <v>5</v>
      </c>
      <c r="B48" s="13" t="inlineStr"/>
      <c r="C48" s="13" t="inlineStr">
        <is>
          <t>Agentes operam processos de ponta a ponta com supervisão por exceção; IA generativa em produtos e serviços.</t>
        </is>
      </c>
      <c r="D48" s="13" t="inlineStr">
        <is>
          <t>Processos operados por agentes com humano monitorando exceções; oferta ao cliente baseada em IA generativa.</t>
        </is>
      </c>
    </row>
    <row r="50">
      <c r="A50" s="4" t="inlineStr">
        <is>
          <t>Lente: campo e sistemas autônomos</t>
        </is>
      </c>
    </row>
    <row r="51">
      <c r="A51" s="11" t="inlineStr">
        <is>
          <t>Nível</t>
        </is>
      </c>
      <c r="B51" s="11" t="inlineStr"/>
      <c r="C51" s="11" t="inlineStr">
        <is>
          <t>Critério</t>
        </is>
      </c>
      <c r="D51" s="11" t="inlineStr">
        <is>
          <t>Evidência pública típica</t>
        </is>
      </c>
    </row>
    <row r="52">
      <c r="A52" s="12" t="n">
        <v>0</v>
      </c>
      <c r="B52" s="13" t="inlineStr"/>
      <c r="C52" s="13" t="inlineStr">
        <is>
          <t>Sem evidência.</t>
        </is>
      </c>
      <c r="D52" s="13" t="inlineStr">
        <is>
          <t>—</t>
        </is>
      </c>
    </row>
    <row r="53">
      <c r="A53" s="12" t="n">
        <v>1</v>
      </c>
      <c r="B53" s="13" t="inlineStr"/>
      <c r="C53" s="13" t="inlineStr">
        <is>
          <t>Enxergar: monitoramento digital em operação regular; o humano diagnostica e decide com dado digital.</t>
        </is>
      </c>
      <c r="D53" s="13" t="inlineStr">
        <is>
          <t>Imagens de satélite ou drone; telemetria; sensores; contagem de plantas por imagem.</t>
        </is>
      </c>
    </row>
    <row r="54">
      <c r="A54" s="12" t="n">
        <v>2</v>
      </c>
      <c r="B54" s="13" t="inlineStr"/>
      <c r="C54" s="13" t="inlineStr">
        <is>
          <t>Antecipar: modelos de diagnóstico e previsão em uso regular; o humano decide.</t>
        </is>
      </c>
      <c r="D54" s="13" t="inlineStr">
        <is>
          <t>Previsão de produtividade, pragas ou falhas; mapas de variabilidade; detecção de incêndio por IA.</t>
        </is>
      </c>
    </row>
    <row r="55">
      <c r="A55" s="12" t="n">
        <v>3</v>
      </c>
      <c r="B55" s="13" t="inlineStr"/>
      <c r="C55" s="13" t="inlineStr">
        <is>
          <t>Executar com precisão, com o operador no comando: a máquina executa a prescrição em operação regular.</t>
        </is>
      </c>
      <c r="D55" s="13" t="inlineStr">
        <is>
          <t>Guiagem e direção automáticas; controle de seções; aplicação localizada ou em taxa variável; drone de aplicação em rota programada.</t>
        </is>
      </c>
    </row>
    <row r="56">
      <c r="A56" s="12" t="n">
        <v>4</v>
      </c>
      <c r="B56" s="13" t="inlineStr"/>
      <c r="C56" s="13" t="inlineStr">
        <is>
          <t>Delegar tarefas delimitadas: a máquina completa ciclos sem interação, em zona e condições definidas, com operador próximo.</t>
        </is>
      </c>
      <c r="D56" s="13" t="inlineStr">
        <is>
          <t>Pulverização autônoma, robô de capina ou de monitoramento, trator com kit autônomo, em operação regular.</t>
        </is>
      </c>
    </row>
    <row r="57">
      <c r="A57" s="12" t="n">
        <v>5</v>
      </c>
      <c r="B57" s="13" t="inlineStr"/>
      <c r="C57" s="13" t="inlineStr">
        <is>
          <t>Supervisionar a operação autônoma: autonomia em todo o ciclo; o humano programa, monitora várias unidades e trata exceções.</t>
        </is>
      </c>
      <c r="D57" s="13" t="inlineStr">
        <is>
          <t>Frota autônoma em operação comercial, supervisionada no campo ou a distância.</t>
        </is>
      </c>
    </row>
  </sheetData>
  <pageMargins left="0.75" right="0.75" top="1" bottom="1" header="0.5" footer="0.5"/>
  <headerFooter>
    <oddHeader/>
    <oddFooter>&amp;C&amp;8 Acelen Energia Renovável · Base de dados do benchmark · BIA-ACL-BD-01 · Rev. 00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6" customWidth="1" min="3" max="3"/>
    <col width="12" customWidth="1" min="4" max="4"/>
    <col width="44" customWidth="1" min="5" max="5"/>
    <col width="20" customWidth="1" min="6" max="6"/>
    <col width="7" customWidth="1" min="7" max="7"/>
    <col width="14" customWidth="1" min="8" max="8"/>
    <col width="20" customWidth="1" min="9" max="9"/>
    <col width="9" customWidth="1" min="10" max="10"/>
    <col width="24" customWidth="1" min="11" max="11"/>
    <col width="12" customWidth="1" min="12" max="12"/>
    <col width="50" customWidth="1" min="13" max="13"/>
  </cols>
  <sheetData>
    <row r="1" ht="30" customHeight="1">
      <c r="A1" s="8" t="inlineStr">
        <is>
          <t>ID</t>
        </is>
      </c>
      <c r="B1" s="8" t="inlineStr">
        <is>
          <t>Título</t>
        </is>
      </c>
      <c r="C1" s="8" t="inlineStr">
        <is>
          <t>Autor/organização</t>
        </is>
      </c>
      <c r="D1" s="8" t="inlineStr">
        <is>
          <t>Data de publicação</t>
        </is>
      </c>
      <c r="E1" s="8" t="inlineStr">
        <is>
          <t>URL</t>
        </is>
      </c>
      <c r="F1" s="8" t="inlineStr">
        <is>
          <t>Tipo</t>
        </is>
      </c>
      <c r="G1" s="8" t="inlineStr">
        <is>
          <t>Nível</t>
        </is>
      </c>
      <c r="H1" s="8" t="inlineStr">
        <is>
          <t>Acesso</t>
        </is>
      </c>
      <c r="I1" s="8" t="inlineStr">
        <is>
          <t>Empresas</t>
        </is>
      </c>
      <c r="J1" s="8" t="inlineStr">
        <is>
          <t>Frentes</t>
        </is>
      </c>
      <c r="K1" s="8" t="inlineStr">
        <is>
          <t>Usado em</t>
        </is>
      </c>
      <c r="L1" s="8" t="inlineStr">
        <is>
          <t>Acessado em</t>
        </is>
      </c>
      <c r="M1" s="8" t="inlineStr">
        <is>
          <t>Observações</t>
        </is>
      </c>
    </row>
    <row r="2">
      <c r="A2" s="12" t="inlineStr">
        <is>
          <t>F-0001</t>
        </is>
      </c>
      <c r="B2" s="13" t="inlineStr">
        <is>
          <t>TI do Futuro — Do Centro de Custo ao Pilar Estratégico (ebook pós-evento Gatua Meeting E01)</t>
        </is>
      </c>
      <c r="C2" s="13" t="inlineStr">
        <is>
          <t>Gatua</t>
        </is>
      </c>
      <c r="D2" s="12" t="inlineStr">
        <is>
          <t>2026-05</t>
        </is>
      </c>
      <c r="E2" s="13" t="inlineStr">
        <is>
          <t>docs/referencias/Gatua_Meeting_E01_2026_TI-do-Futuro.pdf</t>
        </is>
      </c>
      <c r="F2" s="13" t="inlineStr">
        <is>
          <t>levantamento setorial</t>
        </is>
      </c>
      <c r="G2" s="12" t="inlineStr">
        <is>
          <t>A</t>
        </is>
      </c>
      <c r="H2" s="13" t="inlineStr">
        <is>
          <t>restrito</t>
        </is>
      </c>
      <c r="I2" s="13" t="inlineStr">
        <is>
          <t>Usina São José da Estiva; Coopercitrus</t>
        </is>
      </c>
      <c r="J2" s="13" t="inlineStr">
        <is>
          <t>1;3</t>
        </is>
      </c>
      <c r="K2" s="13" t="inlineStr">
        <is>
          <t>BIA-ACL-FM-01;BIA-ACL-SE-01</t>
        </is>
      </c>
      <c r="L2" s="12" t="inlineStr">
        <is>
          <t>2026-09-30</t>
        </is>
      </c>
      <c r="M2" s="13" t="inlineStr">
        <is>
          <t>Pesquisa pré-evento com 84 respondentes (Microsoft Forms, mar–mai/2026): 78% com IA na agenda 2026 (42% em piloto ou avaliação + 36% em produção), p. 28 e 48 da numeração do ebook. Frase de painelista: "a cada 100 testes, cinco viraram projetos que trazem retorno", p. 49. Distribuição camada 3: citar com atribuição, sem reproduzir.</t>
        </is>
      </c>
    </row>
    <row r="3">
      <c r="A3" s="12" t="inlineStr">
        <is>
          <t>F-0002</t>
        </is>
      </c>
      <c r="B3" s="13" t="inlineStr">
        <is>
          <t>The CIO's Guide to Artificial Intelligence (infográfico AI Maturity Model)</t>
        </is>
      </c>
      <c r="C3" s="13" t="inlineStr">
        <is>
          <t>Gartner (Smarter With Gartner; K. Panetta)</t>
        </is>
      </c>
      <c r="D3" s="12" t="inlineStr">
        <is>
          <t>2019-02-05</t>
        </is>
      </c>
      <c r="E3" s="13" t="inlineStr">
        <is>
          <t>https://www.gartner.com/smarterwithgartner/the-cios-guide-to-artificial-intelligence/</t>
        </is>
      </c>
      <c r="F3" s="13" t="inlineStr">
        <is>
          <t>relatório de consultoria</t>
        </is>
      </c>
      <c r="G3" s="12" t="inlineStr">
        <is>
          <t>A</t>
        </is>
      </c>
      <c r="H3" s="13" t="inlineStr">
        <is>
          <t>aberto</t>
        </is>
      </c>
      <c r="I3" s="13" t="inlineStr"/>
      <c r="J3" s="13" t="inlineStr">
        <is>
          <t>2</t>
        </is>
      </c>
      <c r="K3" s="13" t="inlineStr">
        <is>
          <t>BIA-ACL-FM-01</t>
        </is>
      </c>
      <c r="L3" s="12" t="inlineStr">
        <is>
          <t>2026-09-30</t>
        </is>
      </c>
      <c r="M3" s="13" t="inlineStr">
        <is>
          <t>Versão original do modelo (relatório G00358062, 2018): cinco níveis — Awareness, Active, Operational, Systemic, Transformational. Nível 3: ao menos um projeto em produção, patrocinador executivo e orçamento dedicado. Página fora do ar; lida via web.archive.org (cópia arquivada da página oficial).</t>
        </is>
      </c>
    </row>
    <row r="4">
      <c r="A4" s="12" t="inlineStr">
        <is>
          <t>F-0003</t>
        </is>
      </c>
      <c r="B4" s="13" t="inlineStr">
        <is>
          <t>Gartner AI Maturity Model and AI Roadmap Toolkit; AI Maturity Assessment (2025)</t>
        </is>
      </c>
      <c r="C4" s="13" t="inlineStr">
        <is>
          <t>Gartner</t>
        </is>
      </c>
      <c r="D4" s="12" t="inlineStr">
        <is>
          <t>2025-04-29</t>
        </is>
      </c>
      <c r="E4" s="13" t="inlineStr">
        <is>
          <t>https://www.gartner.com/en/chief-information-officer/research/ai-maturity-model-toolkit</t>
        </is>
      </c>
      <c r="F4" s="13" t="inlineStr">
        <is>
          <t>relatório de consultoria</t>
        </is>
      </c>
      <c r="G4" s="12" t="inlineStr">
        <is>
          <t>A</t>
        </is>
      </c>
      <c r="H4" s="13" t="inlineStr">
        <is>
          <t>pago (resumo aberto)</t>
        </is>
      </c>
      <c r="I4" s="13" t="inlineStr"/>
      <c r="J4" s="13" t="inlineStr">
        <is>
          <t>2</t>
        </is>
      </c>
      <c r="K4" s="13" t="inlineStr">
        <is>
          <t>BIA-ACL-FM-01</t>
        </is>
      </c>
      <c r="L4" s="12" t="inlineStr">
        <is>
          <t>2026-09-30</t>
        </is>
      </c>
      <c r="M4" s="13" t="inlineStr">
        <is>
          <t>Estágios atuais: Foundational, Emerging, Operational, Scaled, Transformational. Sete pilares (2025): estratégia, valor, organização, pessoas e cultura, governança, engenharia e dados. Resumos em gartner.com/en/documents/5937907 (2024) e 6383743 (2025).</t>
        </is>
      </c>
    </row>
    <row r="5">
      <c r="A5" s="12" t="inlineStr">
        <is>
          <t>F-0004</t>
        </is>
      </c>
      <c r="B5" s="13" t="inlineStr">
        <is>
          <t>Gartner Survey Finds Generative AI Is Now the Most Frequently Deployed AI Solution in Organizations</t>
        </is>
      </c>
      <c r="C5" s="13" t="inlineStr">
        <is>
          <t>Gartner</t>
        </is>
      </c>
      <c r="D5" s="12" t="inlineStr">
        <is>
          <t>2024-05-07</t>
        </is>
      </c>
      <c r="E5" s="13" t="inlineStr">
        <is>
          <t>https://www.gartner.com/en/newsroom/press-releases/2024-05-07-gartner-survey-finds-generative-ai-is-now-the-most-frequently-deployed-ai-solution-in-organizations</t>
        </is>
      </c>
      <c r="F5" s="13" t="inlineStr">
        <is>
          <t>comunicado oficial</t>
        </is>
      </c>
      <c r="G5" s="12" t="inlineStr">
        <is>
          <t>A</t>
        </is>
      </c>
      <c r="H5" s="13" t="inlineStr">
        <is>
          <t>aberto</t>
        </is>
      </c>
      <c r="I5" s="13" t="inlineStr"/>
      <c r="J5" s="13" t="inlineStr">
        <is>
          <t>2</t>
        </is>
      </c>
      <c r="K5" s="13" t="inlineStr">
        <is>
          <t>BIA-ACL-FM-01</t>
        </is>
      </c>
      <c r="L5" s="12" t="inlineStr">
        <is>
          <t>2026-09-30</t>
        </is>
      </c>
      <c r="M5" s="13" t="inlineStr">
        <is>
          <t>Só 48% dos projetos de IA chegam à produção, em média 8 meses do protótipo à produção; principal barreira: estimar e demonstrar valor (49%); 9% das organizações são maduras em IA, com quatro capacidades: modelo operacional escalável, engenharia de IA, capacitação e gestão da mudança, gestão de confiança, risco e segurança. 644 respondentes (EUA, Alemanha, Reino Unido), 4º tri/2023. Lido via web.archive.org (cópia arquivada da página oficial; site original bloqueia acesso automatizado).</t>
        </is>
      </c>
    </row>
    <row r="6">
      <c r="A6" s="12" t="inlineStr">
        <is>
          <t>F-0005</t>
        </is>
      </c>
      <c r="B6" s="13" t="inlineStr">
        <is>
          <t>Gartner Predicts 30% of Generative AI Projects Will Be Abandoned After Proof of Concept By End of 2025</t>
        </is>
      </c>
      <c r="C6" s="13" t="inlineStr">
        <is>
          <t>Gartner</t>
        </is>
      </c>
      <c r="D6" s="12" t="inlineStr">
        <is>
          <t>2024-07-29</t>
        </is>
      </c>
      <c r="E6" s="13" t="inlineStr">
        <is>
          <t>https://www.gartner.com/en/newsroom/press-releases/2024-07-29-gartner-predicts-30-percent-of-generative-ai-projects-will-be-abandoned-after-proof-of-concept-by-end-of-2025</t>
        </is>
      </c>
      <c r="F6" s="13" t="inlineStr">
        <is>
          <t>comunicado oficial</t>
        </is>
      </c>
      <c r="G6" s="12" t="inlineStr">
        <is>
          <t>A</t>
        </is>
      </c>
      <c r="H6" s="13" t="inlineStr">
        <is>
          <t>aberto</t>
        </is>
      </c>
      <c r="I6" s="13" t="inlineStr"/>
      <c r="J6" s="13" t="inlineStr">
        <is>
          <t>2</t>
        </is>
      </c>
      <c r="K6" s="13" t="inlineStr">
        <is>
          <t>BIA-ACL-FM-01</t>
        </is>
      </c>
      <c r="L6" s="12" t="inlineStr">
        <is>
          <t>2026-09-30</t>
        </is>
      </c>
      <c r="M6" s="13" t="inlineStr">
        <is>
          <t>Previsão. Causas: dados de baixa qualidade, controles de risco inadequados, custos crescentes ou valor de negócio incerto. Lido via web.archive.org (cópia arquivada da página oficial; site original bloqueia acesso automatizado).</t>
        </is>
      </c>
    </row>
    <row r="7">
      <c r="A7" s="12" t="inlineStr">
        <is>
          <t>F-0006</t>
        </is>
      </c>
      <c r="B7" s="13" t="inlineStr">
        <is>
          <t>Lack of AI-Ready Data Puts AI Projects at Risk</t>
        </is>
      </c>
      <c r="C7" s="13" t="inlineStr">
        <is>
          <t>Gartner</t>
        </is>
      </c>
      <c r="D7" s="12" t="inlineStr">
        <is>
          <t>2025-02-26</t>
        </is>
      </c>
      <c r="E7" s="13" t="inlineStr">
        <is>
          <t>https://www.gartner.com/en/newsroom/press-releases/2025-02-26-lack-of-ai-ready-data-puts-ai-projects-at-risk</t>
        </is>
      </c>
      <c r="F7" s="13" t="inlineStr">
        <is>
          <t>comunicado oficial</t>
        </is>
      </c>
      <c r="G7" s="12" t="inlineStr">
        <is>
          <t>A</t>
        </is>
      </c>
      <c r="H7" s="13" t="inlineStr">
        <is>
          <t>aberto</t>
        </is>
      </c>
      <c r="I7" s="13" t="inlineStr"/>
      <c r="J7" s="13" t="inlineStr">
        <is>
          <t>2</t>
        </is>
      </c>
      <c r="K7" s="13" t="inlineStr">
        <is>
          <t>BIA-ACL-FM-01</t>
        </is>
      </c>
      <c r="L7" s="12" t="inlineStr">
        <is>
          <t>2026-09-30</t>
        </is>
      </c>
      <c r="M7" s="13" t="inlineStr">
        <is>
          <t>Previsão: até 2026, organizações abandonarão 60% dos projetos de IA sem dados prontos para IA. Diagnóstico: 63% não têm ou não sabem se têm práticas de gestão de dados adequadas para IA (1.203 líderes de dados, jul/2024). Lido via web.archive.org (cópia arquivada da página oficial; site original bloqueia acesso automatizado).</t>
        </is>
      </c>
    </row>
    <row r="8">
      <c r="A8" s="12" t="inlineStr">
        <is>
          <t>F-0007</t>
        </is>
      </c>
      <c r="B8" s="13" t="inlineStr">
        <is>
          <t>Gartner Predicts Over 40% of Agentic AI Projects Will Be Canceled by End of 2027</t>
        </is>
      </c>
      <c r="C8" s="13" t="inlineStr">
        <is>
          <t>Gartner</t>
        </is>
      </c>
      <c r="D8" s="12" t="inlineStr">
        <is>
          <t>2025-06-25</t>
        </is>
      </c>
      <c r="E8" s="13" t="inlineStr">
        <is>
          <t>https://www.gartner.com/en/newsroom/press-releases/2025-06-25-gartner-predicts-over-40-percent-of-agentic-ai-projects-will-be-canceled-by-end-of-2027</t>
        </is>
      </c>
      <c r="F8" s="13" t="inlineStr">
        <is>
          <t>comunicado oficial</t>
        </is>
      </c>
      <c r="G8" s="12" t="inlineStr">
        <is>
          <t>A</t>
        </is>
      </c>
      <c r="H8" s="13" t="inlineStr">
        <is>
          <t>aberto</t>
        </is>
      </c>
      <c r="I8" s="13" t="inlineStr"/>
      <c r="J8" s="13" t="inlineStr">
        <is>
          <t>2;3</t>
        </is>
      </c>
      <c r="K8" s="13" t="inlineStr">
        <is>
          <t>BIA-ACL-FM-01</t>
        </is>
      </c>
      <c r="L8" s="12" t="inlineStr">
        <is>
          <t>2026-09-30</t>
        </is>
      </c>
      <c r="M8" s="13" t="inlineStr">
        <is>
          <t>Previsão: mais de 40% dos projetos de IA agêntica cancelados até o fim de 2027 por custos crescentes, valor incerto ou controles de risco inadequados. 'Agent washing': rebatizar assistentes, RPA e chatbots como agentes. Lido via web.archive.org (cópia arquivada da página oficial; site original bloqueia acesso automatizado).</t>
        </is>
      </c>
    </row>
    <row r="9">
      <c r="A9" s="12" t="inlineStr">
        <is>
          <t>F-0008</t>
        </is>
      </c>
      <c r="B9" s="13" t="inlineStr">
        <is>
          <t>Gartner Survey Finds 45% of Organizations With High AI Maturity Keep AI Projects Operational for at Least Three Years</t>
        </is>
      </c>
      <c r="C9" s="13" t="inlineStr">
        <is>
          <t>Gartner</t>
        </is>
      </c>
      <c r="D9" s="12" t="inlineStr">
        <is>
          <t>2025-06-30</t>
        </is>
      </c>
      <c r="E9" s="13" t="inlineStr">
        <is>
          <t>https://www.gartner.com/en/newsroom/press-releases/2025-06-30-gartner-survey-finds-forty-five-percent-of-organizations-with-high-artificial-intelligence-maturity-keep-artificial-intelligence-projects-operational-for-at-least-three-years</t>
        </is>
      </c>
      <c r="F9" s="13" t="inlineStr">
        <is>
          <t>comunicado oficial</t>
        </is>
      </c>
      <c r="G9" s="12" t="inlineStr">
        <is>
          <t>A</t>
        </is>
      </c>
      <c r="H9" s="13" t="inlineStr">
        <is>
          <t>aberto</t>
        </is>
      </c>
      <c r="I9" s="13" t="inlineStr"/>
      <c r="J9" s="13" t="inlineStr">
        <is>
          <t>2</t>
        </is>
      </c>
      <c r="K9" s="13" t="inlineStr">
        <is>
          <t>BIA-ACL-FM-01</t>
        </is>
      </c>
      <c r="L9" s="12" t="inlineStr">
        <is>
          <t>2026-09-30</t>
        </is>
      </c>
      <c r="M9" s="13" t="inlineStr">
        <is>
          <t>Iniciativas por 3 anos ou mais em produção: 45% na alta maturidade contra 20% na baixa. Negócio confia em novas soluções: 57% contra 14%. Na alta maturidade, 91% têm líder de IA dedicado e 63% fazem análise de ROI e risco. Dados são barreira nos dois grupos. 432 respondentes, 4º tri/2024. Lido via web.archive.org (cópia arquivada da página oficial; site original bloqueia acesso automatizado).</t>
        </is>
      </c>
    </row>
    <row r="10">
      <c r="A10" s="12" t="inlineStr">
        <is>
          <t>F-0009</t>
        </is>
      </c>
      <c r="B10" s="13" t="inlineStr">
        <is>
          <t>What the 2026 Hype Cycle for Agentic AI Reveals</t>
        </is>
      </c>
      <c r="C10" s="13" t="inlineStr">
        <is>
          <t>Gartner</t>
        </is>
      </c>
      <c r="D10" s="12" t="inlineStr">
        <is>
          <t>2026-04-15</t>
        </is>
      </c>
      <c r="E10" s="13" t="inlineStr">
        <is>
          <t>https://www.gartner.com/en/articles/hype-cycle-for-agentic-ai</t>
        </is>
      </c>
      <c r="F10" s="13" t="inlineStr">
        <is>
          <t>comunicado oficial</t>
        </is>
      </c>
      <c r="G10" s="12" t="inlineStr">
        <is>
          <t>A</t>
        </is>
      </c>
      <c r="H10" s="13" t="inlineStr">
        <is>
          <t>aberto</t>
        </is>
      </c>
      <c r="I10" s="13" t="inlineStr"/>
      <c r="J10" s="13" t="inlineStr">
        <is>
          <t>2;3</t>
        </is>
      </c>
      <c r="K10" s="13" t="inlineStr">
        <is>
          <t>BIA-ACL-FM-01</t>
        </is>
      </c>
      <c r="L10" s="12" t="inlineStr">
        <is>
          <t>2026-09-30</t>
        </is>
      </c>
      <c r="M10" s="13" t="inlineStr">
        <is>
          <t>Só 17% das organizações implantaram agentes de IA; mais de 60% esperam fazê-lo em dois anos (2026 CIO and Technology Executive Survey). IA agêntica no pico de expectativas infladas; agentes totalmente autônomos não estão prontos para a maioria dos usos corporativos. Lido via web.archive.org (cópia arquivada da página oficial; site original bloqueia acesso automatizado).</t>
        </is>
      </c>
    </row>
    <row r="11">
      <c r="A11" s="12" t="inlineStr">
        <is>
          <t>F-0010</t>
        </is>
      </c>
      <c r="B11" s="13" t="inlineStr">
        <is>
          <t>Gartner Says Organizations with Successful AI Initiatives Invest Up to Four Times More in Data and Analytics Foundations</t>
        </is>
      </c>
      <c r="C11" s="13" t="inlineStr">
        <is>
          <t>Gartner</t>
        </is>
      </c>
      <c r="D11" s="12" t="inlineStr">
        <is>
          <t>2026-04-16</t>
        </is>
      </c>
      <c r="E11" s="13" t="inlineStr">
        <is>
          <t>https://www.gartner.com/en/newsroom/press-releases/2026-04-16-gartner-says-organizations-with-successful-ai-initiatives-invest-up-to-four-times-more-in-data-and-analytics-foundations</t>
        </is>
      </c>
      <c r="F11" s="13" t="inlineStr">
        <is>
          <t>comunicado oficial</t>
        </is>
      </c>
      <c r="G11" s="12" t="inlineStr">
        <is>
          <t>A</t>
        </is>
      </c>
      <c r="H11" s="13" t="inlineStr">
        <is>
          <t>aberto</t>
        </is>
      </c>
      <c r="I11" s="13" t="inlineStr"/>
      <c r="J11" s="13" t="inlineStr">
        <is>
          <t>2</t>
        </is>
      </c>
      <c r="K11" s="13" t="inlineStr">
        <is>
          <t>BIA-ACL-FM-01</t>
        </is>
      </c>
      <c r="L11" s="12" t="inlineStr">
        <is>
          <t>2026-09-30</t>
        </is>
      </c>
      <c r="M11" s="13" t="inlineStr">
        <is>
          <t>Quem tem sucesso com IA investe até 4 vezes mais (em % da receita) em qualidade de dados, governança, pessoas e gestão da mudança. Só 39% dos líderes confiam em impacto financeiro positivo dos investimentos atuais (353 líderes de dados e IA, nov–dez/2025).</t>
        </is>
      </c>
    </row>
    <row r="12">
      <c r="A12" s="12" t="inlineStr">
        <is>
          <t>F-0011</t>
        </is>
      </c>
      <c r="B12" s="13" t="inlineStr">
        <is>
          <t>Gartner Says Applying Uniform Governance Across AI Agents Will Lead to Enterprise AI Agent Failure</t>
        </is>
      </c>
      <c r="C12" s="13" t="inlineStr">
        <is>
          <t>Gartner</t>
        </is>
      </c>
      <c r="D12" s="12" t="inlineStr">
        <is>
          <t>2026-05-26</t>
        </is>
      </c>
      <c r="E12" s="13" t="inlineStr">
        <is>
          <t>https://www.gartner.com/en/newsroom/press-releases/2026-05-26-gartner-says-applying-uniform-governance-across-ai-agents-will-lead-to-enterprise-ai-agent-failure</t>
        </is>
      </c>
      <c r="F12" s="13" t="inlineStr">
        <is>
          <t>comunicado oficial</t>
        </is>
      </c>
      <c r="G12" s="12" t="inlineStr">
        <is>
          <t>A</t>
        </is>
      </c>
      <c r="H12" s="13" t="inlineStr">
        <is>
          <t>aberto</t>
        </is>
      </c>
      <c r="I12" s="13" t="inlineStr"/>
      <c r="J12" s="13" t="inlineStr">
        <is>
          <t>2;3</t>
        </is>
      </c>
      <c r="K12" s="13" t="inlineStr">
        <is>
          <t>BIA-ACL-FM-01</t>
        </is>
      </c>
      <c r="L12" s="12" t="inlineStr">
        <is>
          <t>2026-09-30</t>
        </is>
      </c>
      <c r="M12" s="13" t="inlineStr">
        <is>
          <t>Quatro níveis de autonomia de agentes: observar, aconselhar, agir com aprovação, agir de forma autônoma (humano revisa exceções e trilhas de auditoria). Previsão: até 2027, 40% das empresas vão rebaixar ou desativar agentes autônomos por lacunas de governança descobertas após incidentes. Lido via web.archive.org (cópia arquivada da página oficial; site original bloqueia acesso automatizado).</t>
        </is>
      </c>
    </row>
    <row r="13">
      <c r="A13" s="12" t="inlineStr">
        <is>
          <t>F-0012</t>
        </is>
      </c>
      <c r="B13" s="13" t="inlineStr">
        <is>
          <t>Gartner Survey Finds Only 22% of Organizations Have Successfully Scaled AI Across Multiple Business Units</t>
        </is>
      </c>
      <c r="C13" s="13" t="inlineStr">
        <is>
          <t>Gartner</t>
        </is>
      </c>
      <c r="D13" s="12" t="inlineStr">
        <is>
          <t>2026-09-01</t>
        </is>
      </c>
      <c r="E13" s="13" t="inlineStr">
        <is>
          <t>https://www.gartner.com/en/newsroom/press-releases/gartner-survey-finds-only-22-percent-of-organizations-have-successfully-scaled-ai-across-multiple-business-units</t>
        </is>
      </c>
      <c r="F13" s="13" t="inlineStr">
        <is>
          <t>comunicado oficial</t>
        </is>
      </c>
      <c r="G13" s="12" t="inlineStr">
        <is>
          <t>A</t>
        </is>
      </c>
      <c r="H13" s="13" t="inlineStr">
        <is>
          <t>aberto</t>
        </is>
      </c>
      <c r="I13" s="13" t="inlineStr"/>
      <c r="J13" s="13" t="inlineStr">
        <is>
          <t>2</t>
        </is>
      </c>
      <c r="K13" s="13" t="inlineStr">
        <is>
          <t>BIA-ACL-FM-01</t>
        </is>
      </c>
      <c r="L13" s="12" t="inlineStr">
        <is>
          <t>2026-09-30</t>
        </is>
      </c>
      <c r="M13" s="13" t="inlineStr">
        <is>
          <t>1.303 respondentes (empresas com receita de US$ 50 mi ou mais), jan–abr/2026. Só 22% escalaram IA em várias unidades de negócio (autodeclarado). Quem acompanha ROI e gere IA como portfólio tem retorno positivo em 81% das iniciativas.</t>
        </is>
      </c>
    </row>
    <row r="14">
      <c r="A14" s="12" t="inlineStr">
        <is>
          <t>F-0013</t>
        </is>
      </c>
      <c r="B14" s="13" t="inlineStr">
        <is>
          <t>Building Enterprise AI Maturity (Research Briefing XXIV-12)</t>
        </is>
      </c>
      <c r="C14" s="13" t="inlineStr">
        <is>
          <t>MIT CISR (P. Weill, S. L. Woerner, I. M. Sebastian)</t>
        </is>
      </c>
      <c r="D14" s="12" t="inlineStr">
        <is>
          <t>2024-12-19</t>
        </is>
      </c>
      <c r="E14" s="13" t="inlineStr">
        <is>
          <t>https://cisr.mit.edu/publication/2024_1201_EnterpriseAIMaturityModel_WeillWoernerSebastian</t>
        </is>
      </c>
      <c r="F14" s="13" t="inlineStr">
        <is>
          <t>pesquisa acadêmica</t>
        </is>
      </c>
      <c r="G14" s="12" t="inlineStr">
        <is>
          <t>A</t>
        </is>
      </c>
      <c r="H14" s="13" t="inlineStr">
        <is>
          <t>aberto</t>
        </is>
      </c>
      <c r="I14" s="13" t="inlineStr">
        <is>
          <t>Guardian Life; Italgas</t>
        </is>
      </c>
      <c r="J14" s="13" t="inlineStr">
        <is>
          <t>2</t>
        </is>
      </c>
      <c r="K14" s="13" t="inlineStr">
        <is>
          <t>BIA-ACL-FM-01</t>
        </is>
      </c>
      <c r="L14" s="12" t="inlineStr">
        <is>
          <t>2026-09-30</t>
        </is>
      </c>
      <c r="M14" s="13" t="inlineStr">
        <is>
          <t>Quatro estágios: Experiment and Prepare (28%), Build Pilots and Capabilities (34%), Develop AI Ways of Working (31%), Become AI Future Ready (7%) — pesquisa de out/2022, N=721. Estágios 1 e 2 abaixo da média do setor em crescimento e lucro; 3 e 4 acima (+11,3 e +17,1 pp de crescimento). Dados descrevem sobretudo IA analítica; correlação, não causalidade.</t>
        </is>
      </c>
    </row>
    <row r="15">
      <c r="A15" s="12" t="inlineStr">
        <is>
          <t>F-0014</t>
        </is>
      </c>
      <c r="B15" s="13" t="inlineStr">
        <is>
          <t>Grow Enterprise AI Maturity for Bottom-Line Impact (Research Briefing XXV-8)</t>
        </is>
      </c>
      <c r="C15" s="13" t="inlineStr">
        <is>
          <t>MIT CISR (S. L. Woerner, I. M. Sebastian, P. Weill, E. Káganer)</t>
        </is>
      </c>
      <c r="D15" s="12" t="inlineStr">
        <is>
          <t>2025-08-21</t>
        </is>
      </c>
      <c r="E15" s="13" t="inlineStr">
        <is>
          <t>https://cisr.mit.edu/publication/2025_0801_EnterpriseAIMaturityUpdate_WoernerSebastianWeillKaganer</t>
        </is>
      </c>
      <c r="F15" s="13" t="inlineStr">
        <is>
          <t>pesquisa acadêmica</t>
        </is>
      </c>
      <c r="G15" s="12" t="inlineStr">
        <is>
          <t>A</t>
        </is>
      </c>
      <c r="H15" s="13" t="inlineStr">
        <is>
          <t>aberto</t>
        </is>
      </c>
      <c r="I15" s="13" t="inlineStr"/>
      <c r="J15" s="13" t="inlineStr">
        <is>
          <t>2</t>
        </is>
      </c>
      <c r="K15" s="13" t="inlineStr">
        <is>
          <t>BIA-ACL-FM-01</t>
        </is>
      </c>
      <c r="L15" s="12" t="inlineStr">
        <is>
          <t>2026-09-30</t>
        </is>
      </c>
      <c r="M15" s="13" t="inlineStr">
        <is>
          <t>Distribuição 2025 (N=152): 13%, 23%, 46%, 18%. A passagem do estágio 2 ao 3 marca a travessia de abaixo para acima da média do setor. Quatro desafios dessa passagem: estratégia, sistemas, sincronização (pessoas, papéis e times prontos para IA) e stewardship. 'Without a dedicated team approach, companies are destined to stay in the pilot stage.'</t>
        </is>
      </c>
    </row>
    <row r="16">
      <c r="A16" s="12" t="inlineStr">
        <is>
          <t>F-0015</t>
        </is>
      </c>
      <c r="B16" s="13" t="inlineStr">
        <is>
          <t>Leveraging Digital Colleagues for Enterprise Value (Research Briefing XXVI-4)</t>
        </is>
      </c>
      <c r="C16" s="13" t="inlineStr">
        <is>
          <t>MIT CISR (P. Weill, S. L. Woerner)</t>
        </is>
      </c>
      <c r="D16" s="12" t="inlineStr">
        <is>
          <t>2026-04-16</t>
        </is>
      </c>
      <c r="E16" s="13" t="inlineStr">
        <is>
          <t>https://cisr.mit.edu/publication/2026_0401_DigitalColleagues_WeillWoerner</t>
        </is>
      </c>
      <c r="F16" s="13" t="inlineStr">
        <is>
          <t>pesquisa acadêmica</t>
        </is>
      </c>
      <c r="G16" s="12" t="inlineStr">
        <is>
          <t>A</t>
        </is>
      </c>
      <c r="H16" s="13" t="inlineStr">
        <is>
          <t>aberto</t>
        </is>
      </c>
      <c r="I16" s="13" t="inlineStr"/>
      <c r="J16" s="13" t="inlineStr">
        <is>
          <t>2;3</t>
        </is>
      </c>
      <c r="K16" s="13" t="inlineStr">
        <is>
          <t>BIA-ACL-FM-01</t>
        </is>
      </c>
      <c r="L16" s="12" t="inlineStr">
        <is>
          <t>2026-09-30</t>
        </is>
      </c>
      <c r="M16" s="13" t="inlineStr">
        <is>
          <t>Pesquisa set/2025, N=132: 34% usam ativamente 'digital colleagues' (agentes e similares) e outro terço testa; cerca de 22% fizeram grande redesenho de fluxos de trabalho; 9% integraram formalmente.</t>
        </is>
      </c>
    </row>
    <row r="17">
      <c r="A17" s="12" t="inlineStr">
        <is>
          <t>F-0016</t>
        </is>
      </c>
      <c r="B17" s="13" t="inlineStr">
        <is>
          <t>Reshaping Business With Artificial Intelligence</t>
        </is>
      </c>
      <c r="C17" s="13" t="inlineStr">
        <is>
          <t>MIT Sloan Management Review; Boston Consulting Group (S. Ransbotham et al.)</t>
        </is>
      </c>
      <c r="D17" s="12" t="inlineStr">
        <is>
          <t>2017-09-06</t>
        </is>
      </c>
      <c r="E17" s="13" t="inlineStr">
        <is>
          <t>https://sloanreview.mit.edu/projects/reshaping-business-with-artificial-intelligence/</t>
        </is>
      </c>
      <c r="F17" s="13" t="inlineStr">
        <is>
          <t>pesquisa</t>
        </is>
      </c>
      <c r="G17" s="12" t="inlineStr">
        <is>
          <t>A</t>
        </is>
      </c>
      <c r="H17" s="13" t="inlineStr">
        <is>
          <t>aberto</t>
        </is>
      </c>
      <c r="I17" s="13" t="inlineStr"/>
      <c r="J17" s="13" t="inlineStr">
        <is>
          <t>2</t>
        </is>
      </c>
      <c r="K17" s="13" t="inlineStr">
        <is>
          <t>BIA-ACL-FM-01</t>
        </is>
      </c>
      <c r="L17" s="12" t="inlineStr">
        <is>
          <t>2026-09-30</t>
        </is>
      </c>
      <c r="M17" s="13" t="inlineStr">
        <is>
          <t>Mais de 3.000 respondentes, 112 países. Segmentos por entendimento × adoção: Pioneers 19%, Investigators 32%, Experimenters 13%, Passives 36%.</t>
        </is>
      </c>
    </row>
    <row r="18">
      <c r="A18" s="12" t="inlineStr">
        <is>
          <t>F-0017</t>
        </is>
      </c>
      <c r="B18" s="13" t="inlineStr">
        <is>
          <t>Expanding AI's Impact With Organizational Learning</t>
        </is>
      </c>
      <c r="C18" s="13" t="inlineStr">
        <is>
          <t>MIT Sloan Management Review; Boston Consulting Group (S. Ransbotham et al.)</t>
        </is>
      </c>
      <c r="D18" s="12" t="inlineStr">
        <is>
          <t>2020-10</t>
        </is>
      </c>
      <c r="E18" s="13" t="inlineStr">
        <is>
          <t>https://web-assets.bcg.com/f1/79/cf4f7dce459686cfee20edf3117c/mit-bcg-expanding-ai-impact-with-organizational-learning-oct-2020.pdf</t>
        </is>
      </c>
      <c r="F18" s="13" t="inlineStr">
        <is>
          <t>pesquisa</t>
        </is>
      </c>
      <c r="G18" s="12" t="inlineStr">
        <is>
          <t>A</t>
        </is>
      </c>
      <c r="H18" s="13" t="inlineStr">
        <is>
          <t>aberto</t>
        </is>
      </c>
      <c r="I18" s="13" t="inlineStr"/>
      <c r="J18" s="13" t="inlineStr">
        <is>
          <t>2</t>
        </is>
      </c>
      <c r="K18" s="13" t="inlineStr">
        <is>
          <t>BIA-ACL-FM-01</t>
        </is>
      </c>
      <c r="L18" s="12" t="inlineStr">
        <is>
          <t>2026-09-30</t>
        </is>
      </c>
      <c r="M18" s="13" t="inlineStr">
        <is>
          <t>Só 10% das empresas obtêm benefícios financeiros significativos com IA. Chance de benefício: 20% só com fundamentos, 39% construindo soluções, 73% com aprendizagem organizacional. Mais de 3.000 respondentes, primavera de 2020.</t>
        </is>
      </c>
    </row>
    <row r="19">
      <c r="A19" s="12" t="inlineStr">
        <is>
          <t>F-0018</t>
        </is>
      </c>
      <c r="B19" s="13" t="inlineStr">
        <is>
          <t>The Emerging Agentic Enterprise: How Leaders Must Navigate a New Age of AI</t>
        </is>
      </c>
      <c r="C19" s="13" t="inlineStr">
        <is>
          <t>MIT Sloan Management Review; Boston Consulting Group (S. Ransbotham et al.)</t>
        </is>
      </c>
      <c r="D19" s="12" t="inlineStr">
        <is>
          <t>2025-11-18</t>
        </is>
      </c>
      <c r="E19" s="13" t="inlineStr">
        <is>
          <t>https://sloanreview.mit.edu/projects/the-emerging-agentic-enterprise-how-leaders-must-navigate-a-new-age-of-ai/</t>
        </is>
      </c>
      <c r="F19" s="13" t="inlineStr">
        <is>
          <t>pesquisa</t>
        </is>
      </c>
      <c r="G19" s="12" t="inlineStr">
        <is>
          <t>A</t>
        </is>
      </c>
      <c r="H19" s="13" t="inlineStr">
        <is>
          <t>aberto</t>
        </is>
      </c>
      <c r="I19" s="13" t="inlineStr"/>
      <c r="J19" s="13" t="inlineStr">
        <is>
          <t>2;3</t>
        </is>
      </c>
      <c r="K19" s="13" t="inlineStr">
        <is>
          <t>BIA-ACL-FM-01</t>
        </is>
      </c>
      <c r="L19" s="12" t="inlineStr">
        <is>
          <t>2026-09-30</t>
        </is>
      </c>
      <c r="M19" s="13" t="inlineStr">
        <is>
          <t>2.102 respondentes, primavera de 2025. IA agêntica com 35% de adoção e 44% planejando; IA generativa com 70% de adoção em três anos. Quatro tensões: escalabilidade × adaptabilidade, experiência × rapidez, supervisão × autonomia, adaptar × reengenheirar.</t>
        </is>
      </c>
    </row>
    <row r="20">
      <c r="A20" s="12" t="inlineStr">
        <is>
          <t>F-0019</t>
        </is>
      </c>
      <c r="B20" s="13" t="inlineStr">
        <is>
          <t>Where's the Value in AI?</t>
        </is>
      </c>
      <c r="C20" s="13" t="inlineStr">
        <is>
          <t>Boston Consulting Group</t>
        </is>
      </c>
      <c r="D20" s="12" t="inlineStr">
        <is>
          <t>2024-10-24</t>
        </is>
      </c>
      <c r="E20" s="13" t="inlineStr">
        <is>
          <t>https://web-assets.bcg.com/a5/37/be4ddf26420e95aa7107a35aae8d/bcg-wheres-the-value-in-ai.pdf</t>
        </is>
      </c>
      <c r="F20" s="13" t="inlineStr">
        <is>
          <t>relatório de consultoria</t>
        </is>
      </c>
      <c r="G20" s="12" t="inlineStr">
        <is>
          <t>A</t>
        </is>
      </c>
      <c r="H20" s="13" t="inlineStr">
        <is>
          <t>aberto</t>
        </is>
      </c>
      <c r="I20" s="13" t="inlineStr"/>
      <c r="J20" s="13" t="inlineStr">
        <is>
          <t>2</t>
        </is>
      </c>
      <c r="K20" s="13" t="inlineStr">
        <is>
          <t>BIA-ACL-FM-01</t>
        </is>
      </c>
      <c r="L20" s="12" t="inlineStr">
        <is>
          <t>2026-09-30</t>
        </is>
      </c>
      <c r="M20" s="13" t="inlineStr">
        <is>
          <t>1.000 executivos, 59 países; nota sobre 30 capacidades. Níveis: stagnating 25%, emerging 49%, scaling 22%, future-built 4%. Só 26% (scaling + future-built) foram além da prova de conceito. Regra 10-20-70: 10% algoritmos, 20% tecnologia e dados, 70% pessoas e processos. A página web cita 22%; o PDF, 26%.</t>
        </is>
      </c>
    </row>
    <row r="21">
      <c r="A21" s="12" t="inlineStr">
        <is>
          <t>F-0020</t>
        </is>
      </c>
      <c r="B21" s="13" t="inlineStr">
        <is>
          <t>The Widening AI Value Gap: Build for the Future 2025</t>
        </is>
      </c>
      <c r="C21" s="13" t="inlineStr">
        <is>
          <t>Boston Consulting Group</t>
        </is>
      </c>
      <c r="D21" s="12" t="inlineStr">
        <is>
          <t>2025-09-30</t>
        </is>
      </c>
      <c r="E21" s="13" t="inlineStr">
        <is>
          <t>https://media-publications.bcg.com/The-Widening-AI-Value-Gap-Sept-2025.pdf</t>
        </is>
      </c>
      <c r="F21" s="13" t="inlineStr">
        <is>
          <t>relatório de consultoria</t>
        </is>
      </c>
      <c r="G21" s="12" t="inlineStr">
        <is>
          <t>A</t>
        </is>
      </c>
      <c r="H21" s="13" t="inlineStr">
        <is>
          <t>aberto</t>
        </is>
      </c>
      <c r="I21" s="13" t="inlineStr"/>
      <c r="J21" s="13" t="inlineStr">
        <is>
          <t>2</t>
        </is>
      </c>
      <c r="K21" s="13" t="inlineStr">
        <is>
          <t>BIA-ACL-FM-01</t>
        </is>
      </c>
      <c r="L21" s="12" t="inlineStr">
        <is>
          <t>2026-09-30</t>
        </is>
      </c>
      <c r="M21" s="13" t="inlineStr">
        <is>
          <t>1.250 executivos, 68 países; 41 capacidades. Distribuição: stagnating 14%, emerging 46%, scaling 35%, future-built 5%. 60% não obtêm valor material. Agentes: 17% do valor da IA em 2025, projeção de 29% em 2028. Sem recorte de agro.</t>
        </is>
      </c>
    </row>
    <row r="22">
      <c r="A22" s="12" t="inlineStr">
        <is>
          <t>F-0021</t>
        </is>
      </c>
      <c r="B22" s="13" t="inlineStr">
        <is>
          <t>The Formula for Agentic AI Value — The Applied AI Index 2026</t>
        </is>
      </c>
      <c r="C22" s="13" t="inlineStr">
        <is>
          <t>Boston Consulting Group</t>
        </is>
      </c>
      <c r="D22" s="12" t="inlineStr">
        <is>
          <t>2026-09-30</t>
        </is>
      </c>
      <c r="E22" s="13" t="inlineStr">
        <is>
          <t>https://www.bcg.com/publications/2026/the-formula-for-agentic-ai-value</t>
        </is>
      </c>
      <c r="F22" s="13" t="inlineStr">
        <is>
          <t>relatório de consultoria</t>
        </is>
      </c>
      <c r="G22" s="12" t="inlineStr">
        <is>
          <t>A</t>
        </is>
      </c>
      <c r="H22" s="13" t="inlineStr">
        <is>
          <t>aberto</t>
        </is>
      </c>
      <c r="I22" s="13" t="inlineStr"/>
      <c r="J22" s="13" t="inlineStr">
        <is>
          <t>2;3</t>
        </is>
      </c>
      <c r="K22" s="13" t="inlineStr">
        <is>
          <t>BIA-ACL-FM-01</t>
        </is>
      </c>
      <c r="L22" s="12" t="inlineStr">
        <is>
          <t>2026-09-30</t>
        </is>
      </c>
      <c r="M22" s="13" t="inlineStr">
        <is>
          <t>Mais de 1.300 executivos. Distribuição: future-built 7,5%, scaling 41%, emerging 47%, stagnating 4,5%; quase 50% geram valor. 42% esperam dar autonomia a agentes até 2030; só 5% têm os controles completos hoje. Lida a página web e o comunicado, não o PDF.</t>
        </is>
      </c>
    </row>
    <row r="23">
      <c r="A23" s="12" t="inlineStr">
        <is>
          <t>F-0022</t>
        </is>
      </c>
      <c r="B23" s="13" t="inlineStr">
        <is>
          <t>The state of AI: How organizations are rewiring to capture value</t>
        </is>
      </c>
      <c r="C23" s="13" t="inlineStr">
        <is>
          <t>McKinsey &amp; Company (QuantumBlack)</t>
        </is>
      </c>
      <c r="D23" s="12" t="inlineStr">
        <is>
          <t>2025-03-12</t>
        </is>
      </c>
      <c r="E23" s="13" t="inlineStr">
        <is>
          <t>https://www.mckinsey.com/capabilities/quantumblack/our-insights/the-state-of-ai-how-organizations-are-rewiring-to-capture-value</t>
        </is>
      </c>
      <c r="F23" s="13" t="inlineStr">
        <is>
          <t>pesquisa</t>
        </is>
      </c>
      <c r="G23" s="12" t="inlineStr">
        <is>
          <t>A</t>
        </is>
      </c>
      <c r="H23" s="13" t="inlineStr">
        <is>
          <t>aberto</t>
        </is>
      </c>
      <c r="I23" s="13" t="inlineStr"/>
      <c r="J23" s="13" t="inlineStr">
        <is>
          <t>2</t>
        </is>
      </c>
      <c r="K23" s="13" t="inlineStr">
        <is>
          <t>BIA-ACL-FM-01</t>
        </is>
      </c>
      <c r="L23" s="12" t="inlineStr">
        <is>
          <t>2026-09-30</t>
        </is>
      </c>
      <c r="M23" s="13" t="inlineStr">
        <is>
          <t>1.491 participantes, jul/2024. 78% usam IA e 71% usam IA generativa em pelo menos uma função. O redesenho de fluxos de trabalho tem o maior efeito no EBIT entre 25 atributos; supervisão da governança de IA pelo CEO entre os mais correlacionados.</t>
        </is>
      </c>
    </row>
    <row r="24">
      <c r="A24" s="12" t="inlineStr">
        <is>
          <t>F-0023</t>
        </is>
      </c>
      <c r="B24" s="13" t="inlineStr">
        <is>
          <t>The state of AI in 2025: Agents, innovation, and transformation</t>
        </is>
      </c>
      <c r="C24" s="13" t="inlineStr">
        <is>
          <t>McKinsey &amp; Company (QuantumBlack)</t>
        </is>
      </c>
      <c r="D24" s="12" t="inlineStr">
        <is>
          <t>2025-11-05</t>
        </is>
      </c>
      <c r="E24" s="13" t="inlineStr">
        <is>
          <t>https://www.mckinsey.com/capabilities/quantumblack/our-insights/the-state-of-ai-2025</t>
        </is>
      </c>
      <c r="F24" s="13" t="inlineStr">
        <is>
          <t>pesquisa</t>
        </is>
      </c>
      <c r="G24" s="12" t="inlineStr">
        <is>
          <t>A</t>
        </is>
      </c>
      <c r="H24" s="13" t="inlineStr">
        <is>
          <t>aberto</t>
        </is>
      </c>
      <c r="I24" s="13" t="inlineStr"/>
      <c r="J24" s="13" t="inlineStr">
        <is>
          <t>2;3</t>
        </is>
      </c>
      <c r="K24" s="13" t="inlineStr">
        <is>
          <t>BIA-ACL-FM-01</t>
        </is>
      </c>
      <c r="L24" s="12" t="inlineStr">
        <is>
          <t>2026-09-30</t>
        </is>
      </c>
      <c r="M24" s="13" t="inlineStr">
        <is>
          <t>1.993 participantes, 105 países, jun–jul/2025. 88% usam IA em pelo menos uma função; cerca de um terço escalando; agentes: 23% escalando e 39% experimentando. High performers (cerca de 6%) quase 3 vezes mais propensos a redesenhar fluxos de trabalho.</t>
        </is>
      </c>
    </row>
    <row r="25">
      <c r="A25" s="12" t="inlineStr">
        <is>
          <t>F-0024</t>
        </is>
      </c>
      <c r="B25" s="13" t="inlineStr">
        <is>
          <t>The state of AI in 2026: On the road to ROI</t>
        </is>
      </c>
      <c r="C25" s="13" t="inlineStr">
        <is>
          <t>McKinsey &amp; Company (QuantumBlack)</t>
        </is>
      </c>
      <c r="D25" s="12" t="inlineStr">
        <is>
          <t>2026-08-25</t>
        </is>
      </c>
      <c r="E25" s="13" t="inlineStr">
        <is>
          <t>https://www.mckinsey.com/capabilities/quantumblack/our-insights/the-state-of-ai</t>
        </is>
      </c>
      <c r="F25" s="13" t="inlineStr">
        <is>
          <t>pesquisa</t>
        </is>
      </c>
      <c r="G25" s="12" t="inlineStr">
        <is>
          <t>A</t>
        </is>
      </c>
      <c r="H25" s="13" t="inlineStr">
        <is>
          <t>aberto</t>
        </is>
      </c>
      <c r="I25" s="13" t="inlineStr"/>
      <c r="J25" s="13" t="inlineStr">
        <is>
          <t>2;3</t>
        </is>
      </c>
      <c r="K25" s="13" t="inlineStr">
        <is>
          <t>BIA-ACL-FM-01</t>
        </is>
      </c>
      <c r="L25" s="12" t="inlineStr">
        <is>
          <t>2026-09-30</t>
        </is>
      </c>
      <c r="M25" s="13" t="inlineStr">
        <is>
          <t>1.719 participantes, 97 países, mai–jun/2026. 89% usam IA em pelo menos uma função; 44% dizem que a IA está escalando; 40% das grandes empresas escalam agentes; 37% atribuem impacto em EBIT à IA. High performers (cerca de 6%, 5% ou mais do EBIT): quase três quartos redesenham fluxos de trabalho, contra um quarto dos demais.</t>
        </is>
      </c>
    </row>
    <row r="26">
      <c r="A26" s="12" t="inlineStr">
        <is>
          <t>F-0025</t>
        </is>
      </c>
      <c r="B26" s="13" t="inlineStr">
        <is>
          <t>Rewired: The McKinsey Guide to Outcompeting in the Age of Digital and AI (2ª ed. 2026)</t>
        </is>
      </c>
      <c r="C26" s="13" t="inlineStr">
        <is>
          <t>McKinsey &amp; Company (E. Lamarre, K. Smaje, R. Zemmel)</t>
        </is>
      </c>
      <c r="D26" s="12" t="inlineStr">
        <is>
          <t>2023-06-20</t>
        </is>
      </c>
      <c r="E26" s="13" t="inlineStr">
        <is>
          <t>https://www.mckinsey.com/capabilities/tech-and-ai/our-insights/rewired-to-outcompete</t>
        </is>
      </c>
      <c r="F26" s="13" t="inlineStr">
        <is>
          <t>livro</t>
        </is>
      </c>
      <c r="G26" s="12" t="inlineStr">
        <is>
          <t>A</t>
        </is>
      </c>
      <c r="H26" s="13" t="inlineStr">
        <is>
          <t>aberto (artigo de apresentação)</t>
        </is>
      </c>
      <c r="I26" s="13" t="inlineStr"/>
      <c r="J26" s="13" t="inlineStr">
        <is>
          <t>2</t>
        </is>
      </c>
      <c r="K26" s="13" t="inlineStr">
        <is>
          <t>BIA-ACL-FM-01</t>
        </is>
      </c>
      <c r="L26" s="12" t="inlineStr">
        <is>
          <t>2026-09-30</t>
        </is>
      </c>
      <c r="M26" s="13" t="inlineStr">
        <is>
          <t>Seis capacidades: roadmap liderado pelo negócio, talentos, modelo operacional, tecnologia, dados em toda parte, adoção e escala. Sem níveis de maturidade. 2ª edição (2026) mantém as seis capacidades.</t>
        </is>
      </c>
    </row>
    <row r="27">
      <c r="A27" s="12" t="inlineStr">
        <is>
          <t>F-0026</t>
        </is>
      </c>
      <c r="B27" s="13" t="inlineStr">
        <is>
          <t>Navigating the Stages of AI Value Creation (The AI Strategy Roadmap)</t>
        </is>
      </c>
      <c r="C27" s="13" t="inlineStr">
        <is>
          <t>Microsoft; pesquisa IPSOS</t>
        </is>
      </c>
      <c r="D27" s="12" t="inlineStr">
        <is>
          <t>2024-04</t>
        </is>
      </c>
      <c r="E27" s="13" t="inlineStr">
        <is>
          <t>https://marketingassets.microsoft.com/gdc/gdc65yR29/original</t>
        </is>
      </c>
      <c r="F27" s="13" t="inlineStr">
        <is>
          <t>relatório de consultoria</t>
        </is>
      </c>
      <c r="G27" s="12" t="inlineStr">
        <is>
          <t>A</t>
        </is>
      </c>
      <c r="H27" s="13" t="inlineStr">
        <is>
          <t>aberto</t>
        </is>
      </c>
      <c r="I27" s="13" t="inlineStr"/>
      <c r="J27" s="13" t="inlineStr">
        <is>
          <t>2</t>
        </is>
      </c>
      <c r="K27" s="13" t="inlineStr">
        <is>
          <t>BIA-ACL-FM-01</t>
        </is>
      </c>
      <c r="L27" s="12" t="inlineStr">
        <is>
          <t>2026-09-30</t>
        </is>
      </c>
      <c r="M27" s="13" t="inlineStr">
        <is>
          <t>Cinco estágios: Exploring, Planning, Implementing, Scaling, Realising; cinco dimensões: estratégia de negócio, tecnologia e dados, estratégia e experiência em IA, organização e cultura, governança. 1.313 líderes de TI e negócio em 5 países (sem Brasil), set–out/2023. 34% se colocaram nos dois estágios mais altos; o modelo preditivo da pesquisa pôs só 25%.</t>
        </is>
      </c>
    </row>
    <row r="28">
      <c r="A28" s="12" t="inlineStr">
        <is>
          <t>F-0027</t>
        </is>
      </c>
      <c r="B28" s="13" t="inlineStr">
        <is>
          <t>Introduction to the Agentic AI adoption maturity model</t>
        </is>
      </c>
      <c r="C28" s="13" t="inlineStr">
        <is>
          <t>Microsoft (Microsoft Learn)</t>
        </is>
      </c>
      <c r="D28" s="12" t="inlineStr">
        <is>
          <t>2026-03-31</t>
        </is>
      </c>
      <c r="E28" s="13" t="inlineStr">
        <is>
          <t>https://learn.microsoft.com/en-us/agents/adoption-maturity-model/</t>
        </is>
      </c>
      <c r="F28" s="13" t="inlineStr">
        <is>
          <t>documentação técnica</t>
        </is>
      </c>
      <c r="G28" s="12" t="inlineStr">
        <is>
          <t>A</t>
        </is>
      </c>
      <c r="H28" s="13" t="inlineStr">
        <is>
          <t>aberto</t>
        </is>
      </c>
      <c r="I28" s="13" t="inlineStr"/>
      <c r="J28" s="13" t="inlineStr">
        <is>
          <t>2;3</t>
        </is>
      </c>
      <c r="K28" s="13" t="inlineStr">
        <is>
          <t>BIA-ACL-FM-01</t>
        </is>
      </c>
      <c r="L28" s="12" t="inlineStr">
        <is>
          <t>2026-09-30</t>
        </is>
      </c>
      <c r="M28" s="13" t="inlineStr">
        <is>
          <t>Cinco níveis baseados no CMM (Initial, Repeatable, Defined, Capable, Efficient), do inicial à empresa que opera com agentes em primeiro lugar; cinco pilares com IA responsável em todos. Instrumento de autoavaliação; citado só pelo esquema.</t>
        </is>
      </c>
    </row>
    <row r="29">
      <c r="A29" s="12" t="inlineStr">
        <is>
          <t>F-0028</t>
        </is>
      </c>
      <c r="B29" s="13" t="inlineStr">
        <is>
          <t>2025: The year the Frontier Firm is born (Work Trend Index Annual Report)</t>
        </is>
      </c>
      <c r="C29" s="13" t="inlineStr">
        <is>
          <t>Microsoft; Edelman Data x Intelligence</t>
        </is>
      </c>
      <c r="D29" s="12" t="inlineStr">
        <is>
          <t>2025-04-23</t>
        </is>
      </c>
      <c r="E29" s="13" t="inlineStr">
        <is>
          <t>https://www.microsoft.com/en-us/worklab/work-trend-index/2025-the-year-the-frontier-firm-is-born</t>
        </is>
      </c>
      <c r="F29" s="13" t="inlineStr">
        <is>
          <t>pesquisa</t>
        </is>
      </c>
      <c r="G29" s="12" t="inlineStr">
        <is>
          <t>A</t>
        </is>
      </c>
      <c r="H29" s="13" t="inlineStr">
        <is>
          <t>aberto</t>
        </is>
      </c>
      <c r="I29" s="13" t="inlineStr"/>
      <c r="J29" s="13" t="inlineStr">
        <is>
          <t>2;3</t>
        </is>
      </c>
      <c r="K29" s="13" t="inlineStr">
        <is>
          <t>BIA-ACL-FM-01</t>
        </is>
      </c>
      <c r="L29" s="12" t="inlineStr">
        <is>
          <t>2026-09-30</t>
        </is>
      </c>
      <c r="M29" s="13" t="inlineStr">
        <is>
          <t>Três fases: humano com assistente; equipes humano-agente; humano conduz, agentes operam. 31.000 trabalhadores do conhecimento em 31 mercados, incluindo o Brasil, fev–mar/2025. Brasil: 90% confiantes em usar agentes como membros de equipe (82% no mundo); 45% usando agentes para automatizar processos inteiros (46% no mundo). Autodeclarado.</t>
        </is>
      </c>
    </row>
    <row r="30">
      <c r="A30" s="12" t="inlineStr">
        <is>
          <t>F-0029</t>
        </is>
      </c>
      <c r="B30" s="13" t="inlineStr">
        <is>
          <t>What every company can learn from Frontier firms leading the AI revolution (InfoBrief #US53838325)</t>
        </is>
      </c>
      <c r="C30" s="13" t="inlineStr">
        <is>
          <t>IDC, patrocinado pela Microsoft</t>
        </is>
      </c>
      <c r="D30" s="12" t="inlineStr">
        <is>
          <t>2025-11-11</t>
        </is>
      </c>
      <c r="E30" s="13" t="inlineStr">
        <is>
          <t>https://marketingassets.microsoft.com/gdc/gdcvSFjHm/original</t>
        </is>
      </c>
      <c r="F30" s="13" t="inlineStr">
        <is>
          <t>pesquisa</t>
        </is>
      </c>
      <c r="G30" s="12" t="inlineStr">
        <is>
          <t>A</t>
        </is>
      </c>
      <c r="H30" s="13" t="inlineStr">
        <is>
          <t>aberto</t>
        </is>
      </c>
      <c r="I30" s="13" t="inlineStr"/>
      <c r="J30" s="13" t="inlineStr">
        <is>
          <t>2</t>
        </is>
      </c>
      <c r="K30" s="13" t="inlineStr">
        <is>
          <t>BIA-ACL-FM-01</t>
        </is>
      </c>
      <c r="L30" s="12" t="inlineStr">
        <is>
          <t>2026-09-30</t>
        </is>
      </c>
      <c r="M30" s="13" t="inlineStr">
        <is>
          <t>Mais de 4.000 líderes em 16 países, incluindo Brasil e México, ago/2025. Três níveis: Frontier firms 22%, neutral 39%, laggards 39%; na América Latina, 18%, 29% e 53%. Retorno médio da IA generativa caiu de 3,7 vezes (2024) para 2,8 vezes (2025); IA agêntica, 2,3 vezes. Patrocinado; ROI autodeclarado; amostras diferentes entre anos.</t>
        </is>
      </c>
    </row>
    <row r="31">
      <c r="A31" s="12" t="inlineStr">
        <is>
          <t>F-0030</t>
        </is>
      </c>
      <c r="B31" s="13" t="inlineStr">
        <is>
          <t>Demystifying Data with AI on IBM Z (Redpaper REDP-5633) — The AI Ladder</t>
        </is>
      </c>
      <c r="C31" s="13" t="inlineStr">
        <is>
          <t>IBM</t>
        </is>
      </c>
      <c r="D31" s="12" t="inlineStr">
        <is>
          <t>2021</t>
        </is>
      </c>
      <c r="E31" s="13" t="inlineStr">
        <is>
          <t>https://www.redbooks.ibm.com/redpapers/pdfs/redp5633.pdf</t>
        </is>
      </c>
      <c r="F31" s="13" t="inlineStr">
        <is>
          <t>documentação técnica</t>
        </is>
      </c>
      <c r="G31" s="12" t="inlineStr">
        <is>
          <t>A</t>
        </is>
      </c>
      <c r="H31" s="13" t="inlineStr">
        <is>
          <t>aberto</t>
        </is>
      </c>
      <c r="I31" s="13" t="inlineStr"/>
      <c r="J31" s="13" t="inlineStr">
        <is>
          <t>2</t>
        </is>
      </c>
      <c r="K31" s="13" t="inlineStr">
        <is>
          <t>BIA-ACL-FM-01</t>
        </is>
      </c>
      <c r="L31" s="12" t="inlineStr">
        <is>
          <t>2026-09-30</t>
        </is>
      </c>
      <c r="M31" s="13" t="inlineStr">
        <is>
          <t>AI Ladder: quatro degraus — coletar, organizar, analisar e infundir — sobre a base de modernizar a arquitetura de dados. Versões de 2018 (apresentação 'The Ladder to AI') e 2019 (O'Reilly, R. Thomas). Lema: 'There is no AI without an IA (Information Architecture)'. Roteiro de arquitetura de dados, não escala de maturidade organizacional.</t>
        </is>
      </c>
    </row>
    <row r="32">
      <c r="A32" s="12" t="inlineStr">
        <is>
          <t>F-0031</t>
        </is>
      </c>
      <c r="B32" s="13" t="inlineStr">
        <is>
          <t>2025 CEO Study: 5 mindshifts to supercharge business growth</t>
        </is>
      </c>
      <c r="C32" s="13" t="inlineStr">
        <is>
          <t>IBM Institute for Business Value; Oxford Economics</t>
        </is>
      </c>
      <c r="D32" s="12" t="inlineStr">
        <is>
          <t>2025-05-06</t>
        </is>
      </c>
      <c r="E32" s="13" t="inlineStr">
        <is>
          <t>https://newsroom.ibm.com/2025-05-06-ibm-study-ceos-double-down-on-ai-while-navigating-enterprise-hurdles</t>
        </is>
      </c>
      <c r="F32" s="13" t="inlineStr">
        <is>
          <t>pesquisa</t>
        </is>
      </c>
      <c r="G32" s="12" t="inlineStr">
        <is>
          <t>A</t>
        </is>
      </c>
      <c r="H32" s="13" t="inlineStr">
        <is>
          <t>aberto</t>
        </is>
      </c>
      <c r="I32" s="13" t="inlineStr"/>
      <c r="J32" s="13" t="inlineStr">
        <is>
          <t>2</t>
        </is>
      </c>
      <c r="K32" s="13" t="inlineStr">
        <is>
          <t>BIA-ACL-FM-01</t>
        </is>
      </c>
      <c r="L32" s="12" t="inlineStr">
        <is>
          <t>2026-09-30</t>
        </is>
      </c>
      <c r="M32" s="13" t="inlineStr">
        <is>
          <t>2.000 CEOs de 33 geografias (80 no Brasil), fev–abr/2025. Nos últimos três anos, só 25% das iniciativas de IA entregaram o ROI esperado e só 16% escalaram para a empresa toda. Percepção dos CEOs, não medição de projetos.</t>
        </is>
      </c>
    </row>
    <row r="33">
      <c r="A33" s="12" t="inlineStr">
        <is>
          <t>F-0032</t>
        </is>
      </c>
      <c r="B33" s="13" t="inlineStr">
        <is>
          <t>IBM Study: CEOs are reshaping C-suite roles for the AI era (2026 CEO Study)</t>
        </is>
      </c>
      <c r="C33" s="13" t="inlineStr">
        <is>
          <t>IBM Institute for Business Value</t>
        </is>
      </c>
      <c r="D33" s="12" t="inlineStr">
        <is>
          <t>2026-05-04</t>
        </is>
      </c>
      <c r="E33" s="13" t="inlineStr">
        <is>
          <t>https://newsroom.ibm.com/2026-05-04-ibm-study-ceos-are-reshaping-c-suite-roles-for-the-ai-era</t>
        </is>
      </c>
      <c r="F33" s="13" t="inlineStr">
        <is>
          <t>comunicado oficial</t>
        </is>
      </c>
      <c r="G33" s="12" t="inlineStr">
        <is>
          <t>A</t>
        </is>
      </c>
      <c r="H33" s="13" t="inlineStr">
        <is>
          <t>aberto</t>
        </is>
      </c>
      <c r="I33" s="13" t="inlineStr"/>
      <c r="J33" s="13" t="inlineStr">
        <is>
          <t>2;3</t>
        </is>
      </c>
      <c r="K33" s="13" t="inlineStr">
        <is>
          <t>BIA-ACL-FM-01</t>
        </is>
      </c>
      <c r="L33" s="12" t="inlineStr">
        <is>
          <t>2026-09-30</t>
        </is>
      </c>
      <c r="M33" s="13" t="inlineStr">
        <is>
          <t>2.000 CEOs, 33 geografias, fev–abr/2026: 76% das organizações têm Chief AI Officer em 2026, contra 26% em 2025.</t>
        </is>
      </c>
    </row>
    <row r="34">
      <c r="A34" s="12" t="inlineStr">
        <is>
          <t>F-0033</t>
        </is>
      </c>
      <c r="B34" s="13" t="inlineStr">
        <is>
          <t>Google Cloud's AI Adoption Framework (whitepaper)</t>
        </is>
      </c>
      <c r="C34" s="13" t="inlineStr">
        <is>
          <t>Google Cloud</t>
        </is>
      </c>
      <c r="D34" s="12" t="inlineStr">
        <is>
          <t>2020-06-29</t>
        </is>
      </c>
      <c r="E34" s="13" t="inlineStr">
        <is>
          <t>https://services.google.com/fh/files/misc/ai_adoption_framework_whitepaper.pdf</t>
        </is>
      </c>
      <c r="F34" s="13" t="inlineStr">
        <is>
          <t>relatório de consultoria</t>
        </is>
      </c>
      <c r="G34" s="12" t="inlineStr">
        <is>
          <t>A</t>
        </is>
      </c>
      <c r="H34" s="13" t="inlineStr">
        <is>
          <t>aberto</t>
        </is>
      </c>
      <c r="I34" s="13" t="inlineStr"/>
      <c r="J34" s="13" t="inlineStr">
        <is>
          <t>2</t>
        </is>
      </c>
      <c r="K34" s="13" t="inlineStr">
        <is>
          <t>BIA-ACL-FM-01</t>
        </is>
      </c>
      <c r="L34" s="12" t="inlineStr">
        <is>
          <t>2026-09-30</t>
        </is>
      </c>
      <c r="M34" s="13" t="inlineStr">
        <is>
          <t>Três fases (Tactical, Strategic, Transformational) avaliadas em seis temas (Learn, Lead, Access, Scale, Automate, Secure) derivados de quatro pilares (pessoas, processos, tecnologia, dados). Foco em ML; sem versão oficial para IA generativa ou agentes.</t>
        </is>
      </c>
    </row>
    <row r="35">
      <c r="A35" s="12" t="inlineStr">
        <is>
          <t>F-0034</t>
        </is>
      </c>
      <c r="B35" s="13" t="inlineStr">
        <is>
          <t>The ROI of AI 2025: How agents are unlocking the next wave of AI-driven business value</t>
        </is>
      </c>
      <c r="C35" s="13" t="inlineStr">
        <is>
          <t>Google Cloud; National Research Group</t>
        </is>
      </c>
      <c r="D35" s="12" t="inlineStr">
        <is>
          <t>2025-09-04</t>
        </is>
      </c>
      <c r="E35" s="13" t="inlineStr">
        <is>
          <t>https://services.google.com/fh/files/misc/google_cloud_roi_of_ai_2025.pdf</t>
        </is>
      </c>
      <c r="F35" s="13" t="inlineStr">
        <is>
          <t>pesquisa</t>
        </is>
      </c>
      <c r="G35" s="12" t="inlineStr">
        <is>
          <t>A</t>
        </is>
      </c>
      <c r="H35" s="13" t="inlineStr">
        <is>
          <t>aberto</t>
        </is>
      </c>
      <c r="I35" s="13" t="inlineStr"/>
      <c r="J35" s="13" t="inlineStr">
        <is>
          <t>2;3</t>
        </is>
      </c>
      <c r="K35" s="13" t="inlineStr">
        <is>
          <t>BIA-ACL-FM-01</t>
        </is>
      </c>
      <c r="L35" s="12" t="inlineStr">
        <is>
          <t>2026-09-30</t>
        </is>
      </c>
      <c r="M35" s="13" t="inlineStr">
        <is>
          <t>3.466 líderes (351 no Brasil), abr–jun/2025, só empresas que já usam IA generativa em produção. 52% delas já têm agentes em produção. Três níveis de maturidade de agentes: tarefas simples; aplicações de agentes; fluxos multiagente. Patrocinado; base infla percentuais.</t>
        </is>
      </c>
    </row>
    <row r="36">
      <c r="A36" s="12" t="inlineStr">
        <is>
          <t>F-0035</t>
        </is>
      </c>
      <c r="B36" s="13" t="inlineStr">
        <is>
          <t>The art of AI maturity — Advancing from practice to performance</t>
        </is>
      </c>
      <c r="C36" s="13" t="inlineStr">
        <is>
          <t>Accenture Research</t>
        </is>
      </c>
      <c r="D36" s="12" t="inlineStr">
        <is>
          <t>2022-06-08</t>
        </is>
      </c>
      <c r="E36" s="13" t="inlineStr">
        <is>
          <t>https://www.accenture.com/content/dam/accenture/final/a-com-migration/manual/r3/pdf/pdf-5/Accenture-Art-of-AI-Maturity-Report.pdf</t>
        </is>
      </c>
      <c r="F36" s="13" t="inlineStr">
        <is>
          <t>relatório de consultoria</t>
        </is>
      </c>
      <c r="G36" s="12" t="inlineStr">
        <is>
          <t>A</t>
        </is>
      </c>
      <c r="H36" s="13" t="inlineStr">
        <is>
          <t>aberto</t>
        </is>
      </c>
      <c r="I36" s="13" t="inlineStr"/>
      <c r="J36" s="13" t="inlineStr">
        <is>
          <t>2</t>
        </is>
      </c>
      <c r="K36" s="13" t="inlineStr">
        <is>
          <t>BIA-ACL-FM-01</t>
        </is>
      </c>
      <c r="L36" s="12" t="inlineStr">
        <is>
          <t>2026-09-30</t>
        </is>
      </c>
      <c r="M36" s="13" t="inlineStr">
        <is>
          <t>Perfis por capacidades fundamentais (nuvem, plataformas de dados, arquitetura, governança) × diferenciadoras (estratégia, patrocínio do C-level, cultura de inovação): Achievers 12%, Builders 12%, Innovators 13%, Experimenters 63%. Nos mercados em crescimento, incluindo a América Latina: 17%, 18%, 12%, 53%. 1.615 executivos de 1.176 empresas, ago–set/2021.</t>
        </is>
      </c>
    </row>
    <row r="37">
      <c r="A37" s="12" t="inlineStr">
        <is>
          <t>F-0036</t>
        </is>
      </c>
      <c r="B37" s="13" t="inlineStr">
        <is>
          <t>The front-runners' guide to scaling AI: Lessons from industry leaders</t>
        </is>
      </c>
      <c r="C37" s="13" t="inlineStr">
        <is>
          <t>Accenture</t>
        </is>
      </c>
      <c r="D37" s="12" t="inlineStr">
        <is>
          <t>2025-05-06</t>
        </is>
      </c>
      <c r="E37" s="13" t="inlineStr">
        <is>
          <t>https://www.accenture.com/content/dam/accenture/final/accenture-com/document-3/Accenture-Front-Runners-Guide-Scaling-AI-2025-POV.pdf</t>
        </is>
      </c>
      <c r="F37" s="13" t="inlineStr">
        <is>
          <t>relatório de consultoria</t>
        </is>
      </c>
      <c r="G37" s="12" t="inlineStr">
        <is>
          <t>A</t>
        </is>
      </c>
      <c r="H37" s="13" t="inlineStr">
        <is>
          <t>aberto</t>
        </is>
      </c>
      <c r="I37" s="13" t="inlineStr"/>
      <c r="J37" s="13" t="inlineStr">
        <is>
          <t>2</t>
        </is>
      </c>
      <c r="K37" s="13" t="inlineStr">
        <is>
          <t>BIA-ACL-FM-01</t>
        </is>
      </c>
      <c r="L37" s="12" t="inlineStr">
        <is>
          <t>2026-09-30</t>
        </is>
      </c>
      <c r="M37" s="13" t="inlineStr">
        <is>
          <t>2.000 executivos de 1.998 grandes empresas em 15 países (inclui Brasil), jun–jul/2024: 42% experimentando, 43% progredindo, 15% prontas para reinvenção (8% front-runners). Acrescenta capacidades específicas de IA generativa.</t>
        </is>
      </c>
    </row>
    <row r="38">
      <c r="A38" s="12" t="inlineStr">
        <is>
          <t>F-0037</t>
        </is>
      </c>
      <c r="B38" s="13" t="inlineStr">
        <is>
          <t>From early impact to enduring advantage: The intelligent superhighway you need to unlock value from AI</t>
        </is>
      </c>
      <c r="C38" s="13" t="inlineStr">
        <is>
          <t>Accenture (M. Sharma, S. Ramani)</t>
        </is>
      </c>
      <c r="D38" s="12" t="inlineStr">
        <is>
          <t>2026-04</t>
        </is>
      </c>
      <c r="E38" s="13" t="inlineStr">
        <is>
          <t>https://www.accenture.com/content/dam/accenture/final/accenture-com/document-fy26/q3/Accenture-Impact-to-advantage.pdf</t>
        </is>
      </c>
      <c r="F38" s="13" t="inlineStr">
        <is>
          <t>relatório de consultoria</t>
        </is>
      </c>
      <c r="G38" s="12" t="inlineStr">
        <is>
          <t>A</t>
        </is>
      </c>
      <c r="H38" s="13" t="inlineStr">
        <is>
          <t>aberto</t>
        </is>
      </c>
      <c r="I38" s="13" t="inlineStr"/>
      <c r="J38" s="13" t="inlineStr">
        <is>
          <t>2;3</t>
        </is>
      </c>
      <c r="K38" s="13" t="inlineStr">
        <is>
          <t>BIA-ACL-FM-01</t>
        </is>
      </c>
      <c r="L38" s="12" t="inlineStr">
        <is>
          <t>2026-09-30</t>
        </is>
      </c>
      <c r="M38" s="13" t="inlineStr">
        <is>
          <t>Três fases: IA em silos, IA estrutural (começa a industrializar sistemas agênticos) e IA sistêmica (agentes orquestram o trabalho de ponta a ponta). Pesquisa Pulse of Change (jan/2026, 3.650 executivos): só 21% redesenharam processos de ponta a ponta com IA no centro.</t>
        </is>
      </c>
    </row>
    <row r="39">
      <c r="A39" s="12" t="inlineStr">
        <is>
          <t>F-0038</t>
        </is>
      </c>
      <c r="B39" s="13" t="inlineStr">
        <is>
          <t>AI Adoption Maturity Model v1.0</t>
        </is>
      </c>
      <c r="C39" s="13" t="inlineStr">
        <is>
          <t>Carnegie Mellon University Software Engineering Institute; Accenture</t>
        </is>
      </c>
      <c r="D39" s="12" t="inlineStr">
        <is>
          <t>2026-06-30</t>
        </is>
      </c>
      <c r="E39" s="13" t="inlineStr">
        <is>
          <t>https://www.sei.cmu.edu/library/ai-adoption-maturity-model/</t>
        </is>
      </c>
      <c r="F39" s="13" t="inlineStr">
        <is>
          <t>pesquisa</t>
        </is>
      </c>
      <c r="G39" s="12" t="inlineStr">
        <is>
          <t>A</t>
        </is>
      </c>
      <c r="H39" s="13" t="inlineStr">
        <is>
          <t>aberto</t>
        </is>
      </c>
      <c r="I39" s="13" t="inlineStr"/>
      <c r="J39" s="13" t="inlineStr">
        <is>
          <t>2</t>
        </is>
      </c>
      <c r="K39" s="13" t="inlineStr">
        <is>
          <t>BIA-ACL-FM-01</t>
        </is>
      </c>
      <c r="L39" s="12" t="inlineStr">
        <is>
          <t>2026-09-30</t>
        </is>
      </c>
      <c r="M39" s="13" t="inlineStr">
        <is>
          <t>Cinco níveis: Exploratory, Implemented, Aligned, Scaled, Future-Ready AI; oito dimensões: estratégia, força de trabalho e cultura, reengenharia de fluxos, risco e governança, dados, engenharia, operações e ecossistema. Construído a partir de mais de 100 modelos existentes e de pesquisa com cerca de 600 profissionais. Documento completo não lido.</t>
        </is>
      </c>
    </row>
    <row r="40">
      <c r="A40" s="12" t="inlineStr">
        <is>
          <t>F-0039</t>
        </is>
      </c>
      <c r="B40" s="13" t="inlineStr">
        <is>
          <t>State of AI in the Enterprise, 5th Edition</t>
        </is>
      </c>
      <c r="C40" s="13" t="inlineStr">
        <is>
          <t>Deloitte AI Institute</t>
        </is>
      </c>
      <c r="D40" s="12" t="inlineStr">
        <is>
          <t>2022-10-18</t>
        </is>
      </c>
      <c r="E40" s="13" t="inlineStr">
        <is>
          <t>https://www2.deloitte.com/content/dam/Deloitte/us/Documents/deloitte-analytics/us-ai-institute-state-of-ai-fifth-edition.pdf</t>
        </is>
      </c>
      <c r="F40" s="13" t="inlineStr">
        <is>
          <t>pesquisa</t>
        </is>
      </c>
      <c r="G40" s="12" t="inlineStr">
        <is>
          <t>A</t>
        </is>
      </c>
      <c r="H40" s="13" t="inlineStr">
        <is>
          <t>aberto</t>
        </is>
      </c>
      <c r="I40" s="13" t="inlineStr"/>
      <c r="J40" s="13" t="inlineStr">
        <is>
          <t>2</t>
        </is>
      </c>
      <c r="K40" s="13" t="inlineStr">
        <is>
          <t>BIA-ACL-FM-01</t>
        </is>
      </c>
      <c r="L40" s="12" t="inlineStr">
        <is>
          <t>2026-09-30</t>
        </is>
      </c>
      <c r="M40" s="13" t="inlineStr">
        <is>
          <t>Perfis por implantações × resultados: Transformers 27%, Pathseekers 24%, Starters 28%, Underachievers 22% (subiram de 17%). 2.620 líderes em 13 países (115 no Brasil), abr–mai/2022.</t>
        </is>
      </c>
    </row>
    <row r="41">
      <c r="A41" s="12" t="inlineStr">
        <is>
          <t>F-0040</t>
        </is>
      </c>
      <c r="B41" s="13" t="inlineStr">
        <is>
          <t>Now decides next: Generating a new future — State of Generative AI in the Enterprise, Quarter four report</t>
        </is>
      </c>
      <c r="C41" s="13" t="inlineStr">
        <is>
          <t>Deloitte AI Institute</t>
        </is>
      </c>
      <c r="D41" s="12" t="inlineStr">
        <is>
          <t>2025-01</t>
        </is>
      </c>
      <c r="E41" s="13" t="inlineStr">
        <is>
          <t>https://www2.deloitte.com/content/dam/Deloitte/us/Documents/consulting/us-state-of-gen-ai-q4.pdf</t>
        </is>
      </c>
      <c r="F41" s="13" t="inlineStr">
        <is>
          <t>pesquisa</t>
        </is>
      </c>
      <c r="G41" s="12" t="inlineStr">
        <is>
          <t>A</t>
        </is>
      </c>
      <c r="H41" s="13" t="inlineStr">
        <is>
          <t>aberto</t>
        </is>
      </c>
      <c r="I41" s="13" t="inlineStr"/>
      <c r="J41" s="13" t="inlineStr">
        <is>
          <t>2</t>
        </is>
      </c>
      <c r="K41" s="13" t="inlineStr">
        <is>
          <t>BIA-ACL-FM-01</t>
        </is>
      </c>
      <c r="L41" s="12" t="inlineStr">
        <is>
          <t>2026-09-30</t>
        </is>
      </c>
      <c r="M41" s="13" t="inlineStr">
        <is>
          <t>2.773 líderes em 14 países (115 no Brasil), jul–set/2024. Mais de dois terços esperam escalar totalmente 30% ou menos dos experimentos de IA generativa nos 3 a 6 meses seguintes.</t>
        </is>
      </c>
    </row>
    <row r="42">
      <c r="A42" s="12" t="inlineStr">
        <is>
          <t>F-0041</t>
        </is>
      </c>
      <c r="B42" s="13" t="inlineStr">
        <is>
          <t>State of AI in the Enterprise 2026 — From Ambition to Activation</t>
        </is>
      </c>
      <c r="C42" s="13" t="inlineStr">
        <is>
          <t>Deloitte</t>
        </is>
      </c>
      <c r="D42" s="12" t="inlineStr">
        <is>
          <t>2026-01-21</t>
        </is>
      </c>
      <c r="E42" s="13" t="inlineStr">
        <is>
          <t>https://www.deloitte.com/us/en/about/press-room/state-of-ai-report-2026.html</t>
        </is>
      </c>
      <c r="F42" s="13" t="inlineStr">
        <is>
          <t>comunicado oficial</t>
        </is>
      </c>
      <c r="G42" s="12" t="inlineStr">
        <is>
          <t>A</t>
        </is>
      </c>
      <c r="H42" s="13" t="inlineStr">
        <is>
          <t>aberto</t>
        </is>
      </c>
      <c r="I42" s="13" t="inlineStr"/>
      <c r="J42" s="13" t="inlineStr">
        <is>
          <t>2;3</t>
        </is>
      </c>
      <c r="K42" s="13" t="inlineStr">
        <is>
          <t>BIA-ACL-FM-01</t>
        </is>
      </c>
      <c r="L42" s="12" t="inlineStr">
        <is>
          <t>2026-09-30</t>
        </is>
      </c>
      <c r="M42" s="13" t="inlineStr">
        <is>
          <t>3.235 líderes em 24 países, ago–set/2025. Só 25% levaram 40% ou mais dos pilotos de IA à produção; 30% redesenham processos-chave em torno da IA; cerca de três quartos planejam agentes em dois anos, mas só 21% têm modelo maduro de governança de agentes. Lido só o comunicado.</t>
        </is>
      </c>
    </row>
    <row r="43">
      <c r="A43" s="12" t="inlineStr">
        <is>
          <t>F-0042</t>
        </is>
      </c>
      <c r="B43" s="13" t="inlineStr">
        <is>
          <t>Cisco AI Readiness Index 2025 — Realizing the Value of AI</t>
        </is>
      </c>
      <c r="C43" s="13" t="inlineStr">
        <is>
          <t>Cisco</t>
        </is>
      </c>
      <c r="D43" s="12" t="inlineStr">
        <is>
          <t>2025-10-14</t>
        </is>
      </c>
      <c r="E43" s="13" t="inlineStr">
        <is>
          <t>https://www.cisco.com/c/dam/m/en_us/solutions/ai/readiness-index/2025-m10/documents/cisco-ai-readiness-index-2025-realizing-the-value-of-ai.pdf</t>
        </is>
      </c>
      <c r="F43" s="13" t="inlineStr">
        <is>
          <t>pesquisa</t>
        </is>
      </c>
      <c r="G43" s="12" t="inlineStr">
        <is>
          <t>A</t>
        </is>
      </c>
      <c r="H43" s="13" t="inlineStr">
        <is>
          <t>aberto</t>
        </is>
      </c>
      <c r="I43" s="13" t="inlineStr"/>
      <c r="J43" s="13" t="inlineStr">
        <is>
          <t>2</t>
        </is>
      </c>
      <c r="K43" s="13" t="inlineStr">
        <is>
          <t>BIA-ACL-FM-01</t>
        </is>
      </c>
      <c r="L43" s="12" t="inlineStr">
        <is>
          <t>2026-09-30</t>
        </is>
      </c>
      <c r="M43" s="13" t="inlineStr">
        <is>
          <t>Seis pilares com pesos: estratégia 15%, infraestrutura 25%, dados 20%, governança 15%, talentos 15%, cultura 10%. Quatro níveis: Pacesetters 13%, Chasers 36%, Followers 48%, Laggards 3%. 8.039 líderes em 30 mercados (inclui Brasil), ago/2025.</t>
        </is>
      </c>
    </row>
    <row r="44">
      <c r="A44" s="12" t="inlineStr">
        <is>
          <t>F-0043</t>
        </is>
      </c>
      <c r="B44" s="13" t="inlineStr">
        <is>
          <t>Cisco AI Readiness Index — Hype Meets Reality (versão Brasil)</t>
        </is>
      </c>
      <c r="C44" s="13" t="inlineStr">
        <is>
          <t>Cisco</t>
        </is>
      </c>
      <c r="D44" s="12" t="inlineStr">
        <is>
          <t>2024-11</t>
        </is>
      </c>
      <c r="E44" s="13" t="inlineStr">
        <is>
          <t>https://www.cisco.com/c/dam/m/en_us/solutions/ai/readiness-index/2024-m11/documents/cisco-ai-readiness-index-br.pdf</t>
        </is>
      </c>
      <c r="F44" s="13" t="inlineStr">
        <is>
          <t>pesquisa</t>
        </is>
      </c>
      <c r="G44" s="12" t="inlineStr">
        <is>
          <t>A</t>
        </is>
      </c>
      <c r="H44" s="13" t="inlineStr">
        <is>
          <t>aberto</t>
        </is>
      </c>
      <c r="I44" s="13" t="inlineStr"/>
      <c r="J44" s="13" t="inlineStr">
        <is>
          <t>2</t>
        </is>
      </c>
      <c r="K44" s="13" t="inlineStr">
        <is>
          <t>BIA-ACL-FM-01</t>
        </is>
      </c>
      <c r="L44" s="12" t="inlineStr">
        <is>
          <t>2026-09-30</t>
        </is>
      </c>
      <c r="M44" s="13" t="inlineStr">
        <is>
          <t>Brasil 2024 (lido do gráfico): Pacesetters 25%, Chasers 40%, Followers 34%, Laggards 1%; mundo: 13%, 33%, 51%, 3%. IA generativa é a tecnologia de maior implantação no Brasil (47%). Tamanho da amostra brasileira não divulgado.</t>
        </is>
      </c>
    </row>
    <row r="45">
      <c r="A45" s="12" t="inlineStr">
        <is>
          <t>F-0044</t>
        </is>
      </c>
      <c r="B45" s="13" t="inlineStr">
        <is>
          <t>AI Index Report 2026 — Chapter 4: Economy</t>
        </is>
      </c>
      <c r="C45" s="13" t="inlineStr">
        <is>
          <t>Stanford HAI</t>
        </is>
      </c>
      <c r="D45" s="12" t="inlineStr">
        <is>
          <t>2026-04-13</t>
        </is>
      </c>
      <c r="E45" s="13" t="inlineStr">
        <is>
          <t>https://hai.stanford.edu/assets/files/ai_index_report_2026_chapter_4_economy.pdf</t>
        </is>
      </c>
      <c r="F45" s="13" t="inlineStr">
        <is>
          <t>pesquisa</t>
        </is>
      </c>
      <c r="G45" s="12" t="inlineStr">
        <is>
          <t>B</t>
        </is>
      </c>
      <c r="H45" s="13" t="inlineStr">
        <is>
          <t>aberto</t>
        </is>
      </c>
      <c r="I45" s="13" t="inlineStr"/>
      <c r="J45" s="13" t="inlineStr">
        <is>
          <t>2;3</t>
        </is>
      </c>
      <c r="K45" s="13" t="inlineStr">
        <is>
          <t>BIA-ACL-FM-01</t>
        </is>
      </c>
      <c r="L45" s="12" t="inlineStr">
        <is>
          <t>2026-09-30</t>
        </is>
      </c>
      <c r="M45" s="13" t="inlineStr">
        <is>
          <t>Compila pesquisas McKinsey: uso de IA em ao menos uma função de 55% (2023) para 78% (2024) e 88% (2025); IA generativa de 33% para 71% e 79% (o capítulo também cita 70% nos destaques). Mercados em desenvolvimento, incluindo Américas Central e do Sul: 88% em 2025. Uso escalado de agentes na casa de um dígito na maioria das funções.</t>
        </is>
      </c>
    </row>
    <row r="46">
      <c r="A46" s="12" t="inlineStr">
        <is>
          <t>F-0045</t>
        </is>
      </c>
      <c r="B46" s="13" t="inlineStr">
        <is>
          <t>Índice de Transformação Digital Brasil 2025 (ITDBr)</t>
        </is>
      </c>
      <c r="C46" s="13" t="inlineStr">
        <is>
          <t>PwC Brasil; Fundação Dom Cabral</t>
        </is>
      </c>
      <c r="D46" s="12" t="inlineStr">
        <is>
          <t>2025-12-04</t>
        </is>
      </c>
      <c r="E46" s="13" t="inlineStr">
        <is>
          <t>https://www.pwc.com.br/pt/estudos/servicos/consultoria-negocios/indice-transformacao-digital-brasil/2025/itdbr-2025.pdf</t>
        </is>
      </c>
      <c r="F46" s="13" t="inlineStr">
        <is>
          <t>levantamento setorial</t>
        </is>
      </c>
      <c r="G46" s="12" t="inlineStr">
        <is>
          <t>A</t>
        </is>
      </c>
      <c r="H46" s="13" t="inlineStr">
        <is>
          <t>aberto</t>
        </is>
      </c>
      <c r="I46" s="13" t="inlineStr"/>
      <c r="J46" s="13" t="inlineStr">
        <is>
          <t>2</t>
        </is>
      </c>
      <c r="K46" s="13" t="inlineStr">
        <is>
          <t>BIA-ACL-FM-01</t>
        </is>
      </c>
      <c r="L46" s="12" t="inlineStr">
        <is>
          <t>2026-09-30</t>
        </is>
      </c>
      <c r="M46" s="13" t="inlineStr">
        <is>
          <t>Autoavaliação de executivos em 10 dimensões, escala de 1 a 6; sem níveis formais, com perfis de postura de investimento. Índice geral 3,6 (2025), 3,7 (2024), 3,3 (2023). Citação da IA como tecnologia de fronteira adotada: 20% (2024) e 59% (2025) — não é taxa de uso. Amostra e coleta não divulgadas; há inconsistências internas no PDF. O ebook Gatua (F-0001) cita estes números com divergências (51%, 6 dimensões); usar sempre este original.</t>
        </is>
      </c>
    </row>
    <row r="47">
      <c r="A47" s="12" t="inlineStr">
        <is>
          <t>F-0046</t>
        </is>
      </c>
      <c r="B47" s="13" t="inlineStr">
        <is>
          <t>ITDBr 2024 – Destaques do setor do Agronegócio</t>
        </is>
      </c>
      <c r="C47" s="13" t="inlineStr">
        <is>
          <t>PwC Brasil; Fundação Dom Cabral</t>
        </is>
      </c>
      <c r="D47" s="12" t="inlineStr">
        <is>
          <t>2024-12-03</t>
        </is>
      </c>
      <c r="E47" s="13" t="inlineStr">
        <is>
          <t>https://www.pwc.com.br/pt/estudos/servicos/consultoria-negocios/indice-transformacao-digital-brasil/2024/PwC-ITDBr-Agro-24.pdf</t>
        </is>
      </c>
      <c r="F47" s="13" t="inlineStr">
        <is>
          <t>levantamento setorial</t>
        </is>
      </c>
      <c r="G47" s="12" t="inlineStr">
        <is>
          <t>A</t>
        </is>
      </c>
      <c r="H47" s="13" t="inlineStr">
        <is>
          <t>aberto</t>
        </is>
      </c>
      <c r="I47" s="13" t="inlineStr"/>
      <c r="J47" s="13" t="inlineStr">
        <is>
          <t>2;3</t>
        </is>
      </c>
      <c r="K47" s="13" t="inlineStr">
        <is>
          <t>BIA-ACL-FM-01</t>
        </is>
      </c>
      <c r="L47" s="12" t="inlineStr">
        <is>
          <t>2026-09-30</t>
        </is>
      </c>
      <c r="M47" s="13" t="inlineStr">
        <is>
          <t>Agro com o menor índice entre as indústrias (3,1 contra 3,7) e abaixo da média em todas as dimensões; pessoas e cultura 2,7 (média 3,6), a pior nota do estudo. IA citada como adotada por 36% das empresas do agro, contra 20% na média. 75,8% com postura seletiva. Estrutura e cultura como barreira para 73%. Amostra não divulgada.</t>
        </is>
      </c>
    </row>
    <row r="48">
      <c r="A48" s="12" t="inlineStr">
        <is>
          <t>F-0047</t>
        </is>
      </c>
      <c r="B48" s="13" t="inlineStr">
        <is>
          <t>ITDBr 2025 | Destaques do Agronegócio</t>
        </is>
      </c>
      <c r="C48" s="13" t="inlineStr">
        <is>
          <t>PwC Brasil; Fundação Dom Cabral</t>
        </is>
      </c>
      <c r="D48" s="12" t="inlineStr">
        <is>
          <t>2026-06-30</t>
        </is>
      </c>
      <c r="E48" s="13" t="inlineStr">
        <is>
          <t>https://www.pwc.com.br/pt/estudos/servicos/consultoria-negocios/indice-transformacao-digital-brasil/2025/itdbr-agronegocio-2025.pdf</t>
        </is>
      </c>
      <c r="F48" s="13" t="inlineStr">
        <is>
          <t>levantamento setorial</t>
        </is>
      </c>
      <c r="G48" s="12" t="inlineStr">
        <is>
          <t>A</t>
        </is>
      </c>
      <c r="H48" s="13" t="inlineStr">
        <is>
          <t>aberto</t>
        </is>
      </c>
      <c r="I48" s="13" t="inlineStr"/>
      <c r="J48" s="13" t="inlineStr">
        <is>
          <t>2;3</t>
        </is>
      </c>
      <c r="K48" s="13" t="inlineStr">
        <is>
          <t>BIA-ACL-FM-01</t>
        </is>
      </c>
      <c r="L48" s="12" t="inlineStr">
        <is>
          <t>2026-09-30</t>
        </is>
      </c>
      <c r="M48" s="13" t="inlineStr">
        <is>
          <t>Índice do agro de 3,1 (2024) para 3,6 (2025), alcançando a média geral. Acima da média: infraestrutura (4,4) e estratégia (4,2). Abaixo: inteligência artificial (3,4 contra 3,7), clientes digitais (2,9), fronteira tecnológica (1,8). Impactos da digitalização: eficiência operacional 90%, processo decisório 54%, novos modelos de negócio 21%. Estrutura e cultura como barreira para 49%. 49% otimizadoras, 43% seletivas, 8% visionárias. Amostra não divulgada.</t>
        </is>
      </c>
    </row>
    <row r="49">
      <c r="A49" s="12" t="inlineStr">
        <is>
          <t>F-0048</t>
        </is>
      </c>
      <c r="B49" s="13" t="inlineStr">
        <is>
          <t>Pesquisa de Inovação Semestral 2024: indicadores temáticos (tecnologias digitais avançadas)</t>
        </is>
      </c>
      <c r="C49" s="13" t="inlineStr">
        <is>
          <t>IBGE; ABDI; UFRJ</t>
        </is>
      </c>
      <c r="D49" s="12" t="inlineStr">
        <is>
          <t>2025-09-24</t>
        </is>
      </c>
      <c r="E49" s="13" t="inlineStr">
        <is>
          <t>https://agenciadenoticias.ibge.gov.br/agencia-noticias/2012-agencia-de-noticias/noticias/44551-de-2022-a-2024-percentual-de-empresas-industriais-utilizando-inteligencia-artificial-subiu-de-16-9-para-41-9</t>
        </is>
      </c>
      <c r="F49" s="13" t="inlineStr">
        <is>
          <t>dado oficial</t>
        </is>
      </c>
      <c r="G49" s="12" t="inlineStr">
        <is>
          <t>A</t>
        </is>
      </c>
      <c r="H49" s="13" t="inlineStr">
        <is>
          <t>aberto</t>
        </is>
      </c>
      <c r="I49" s="13" t="inlineStr"/>
      <c r="J49" s="13" t="inlineStr">
        <is>
          <t>2;3</t>
        </is>
      </c>
      <c r="K49" s="13" t="inlineStr">
        <is>
          <t>BIA-ACL-FM-01</t>
        </is>
      </c>
      <c r="L49" s="12" t="inlineStr">
        <is>
          <t>2026-09-30</t>
        </is>
      </c>
      <c r="M49" s="13" t="inlineStr">
        <is>
          <t>Empresas industriais com 100 ou mais pessoas: uso de IA de 16,9% (2022) para 41,9% (2024). Por atividade (cálculo sobre as tabelas; CV alto): alimentos 39,0%, celulose e papel 33,1%, madeira 29,5%, divisão de derivados de petróleo e biocombustíveis 42,8%. Barreiras: custo (78,6%) e falta de pessoal qualificado. Estatística experimental; não cobre a agropecuária.</t>
        </is>
      </c>
    </row>
    <row r="50">
      <c r="A50" s="12" t="inlineStr">
        <is>
          <t>F-0049</t>
        </is>
      </c>
      <c r="B50" s="13" t="inlineStr">
        <is>
          <t>Uso de inteligência artificial por empresas brasileiras avança e atinge 17% (TIC Empresas 2025)</t>
        </is>
      </c>
      <c r="C50" s="13" t="inlineStr">
        <is>
          <t>Cetic.br / NIC.br</t>
        </is>
      </c>
      <c r="D50" s="12" t="inlineStr">
        <is>
          <t>2026-06-15</t>
        </is>
      </c>
      <c r="E50" s="13" t="inlineStr">
        <is>
          <t>https://cetic.br/pt/noticia/uso-de-inteligencia-artificial-por-empresas-brasileiras-avanca-e-atinge-17-aponta-pesquisa-do-cetic-br/</t>
        </is>
      </c>
      <c r="F50" s="13" t="inlineStr">
        <is>
          <t>levantamento setorial</t>
        </is>
      </c>
      <c r="G50" s="12" t="inlineStr">
        <is>
          <t>A</t>
        </is>
      </c>
      <c r="H50" s="13" t="inlineStr">
        <is>
          <t>aberto</t>
        </is>
      </c>
      <c r="I50" s="13" t="inlineStr"/>
      <c r="J50" s="13" t="inlineStr">
        <is>
          <t>2</t>
        </is>
      </c>
      <c r="K50" s="13" t="inlineStr">
        <is>
          <t>BIA-ACL-FM-01</t>
        </is>
      </c>
      <c r="L50" s="12" t="inlineStr">
        <is>
          <t>2026-09-30</t>
        </is>
      </c>
      <c r="M50" s="13" t="inlineStr">
        <is>
          <t>4.174 empresas com 10 ou mais pessoas, fev/2025–jan/2026: uso de IA de 13% (2024) para 17% (2025); grandes empresas de 38% para 50%. 80% adquiriram soluções prontas. Setores publicados não incluem a agropecuária.</t>
        </is>
      </c>
    </row>
    <row r="51">
      <c r="A51" s="12" t="inlineStr">
        <is>
          <t>F-0050</t>
        </is>
      </c>
      <c r="B51" s="13" t="inlineStr">
        <is>
          <t>IA entra em fase de escala enquanto papel estratégico avança nas empresas; mercado brasileiro se destaca</t>
        </is>
      </c>
      <c r="C51" s="13" t="inlineStr">
        <is>
          <t>Deloitte Brasil</t>
        </is>
      </c>
      <c r="D51" s="12" t="inlineStr">
        <is>
          <t>2026-05-14</t>
        </is>
      </c>
      <c r="E51" s="13" t="inlineStr">
        <is>
          <t>https://www.deloitte.com/br/pt/about/press-room/state-of-ai-2026.html</t>
        </is>
      </c>
      <c r="F51" s="13" t="inlineStr">
        <is>
          <t>comunicado oficial</t>
        </is>
      </c>
      <c r="G51" s="12" t="inlineStr">
        <is>
          <t>A</t>
        </is>
      </c>
      <c r="H51" s="13" t="inlineStr">
        <is>
          <t>aberto</t>
        </is>
      </c>
      <c r="I51" s="13" t="inlineStr"/>
      <c r="J51" s="13" t="inlineStr">
        <is>
          <t>2;3</t>
        </is>
      </c>
      <c r="K51" s="13" t="inlineStr">
        <is>
          <t>BIA-ACL-FM-01</t>
        </is>
      </c>
      <c r="L51" s="12" t="inlineStr">
        <is>
          <t>2026-09-30</t>
        </is>
      </c>
      <c r="M51" s="13" t="inlineStr">
        <is>
          <t>Recorte Brasil (115 líderes) do State of AI in the Enterprise 2026, ago–set/2025: 58% implementaram no máximo 20% dos pilotos; só 23% escalaram 40% ou mais; 95% planejam IA agêntica em dois anos, mas 27% têm governança madura; 42% usam IA para mudanças estruturais.</t>
        </is>
      </c>
    </row>
    <row r="52">
      <c r="A52" s="12" t="inlineStr">
        <is>
          <t>F-0051</t>
        </is>
      </c>
      <c r="B52" s="13" t="inlineStr">
        <is>
          <t>Pesquisa Febraban de Tecnologia Bancária 2026, Vol. 1</t>
        </is>
      </c>
      <c r="C52" s="13" t="inlineStr">
        <is>
          <t>Febraban; Deloitte</t>
        </is>
      </c>
      <c r="D52" s="12" t="inlineStr">
        <is>
          <t>2026-08</t>
        </is>
      </c>
      <c r="E52" s="13" t="inlineStr">
        <is>
          <t>https://cmsarquivos.febraban.org.br/Arquivos/documentos/PDF/Pesquisa%20Febraban%202026%20V1.pdf</t>
        </is>
      </c>
      <c r="F52" s="13" t="inlineStr">
        <is>
          <t>levantamento setorial</t>
        </is>
      </c>
      <c r="G52" s="12" t="inlineStr">
        <is>
          <t>A</t>
        </is>
      </c>
      <c r="H52" s="13" t="inlineStr">
        <is>
          <t>aberto</t>
        </is>
      </c>
      <c r="I52" s="13" t="inlineStr"/>
      <c r="J52" s="13" t="inlineStr">
        <is>
          <t>2</t>
        </is>
      </c>
      <c r="K52" s="13" t="inlineStr">
        <is>
          <t>BIA-ACL-FM-01</t>
        </is>
      </c>
      <c r="L52" s="12" t="inlineStr">
        <is>
          <t>2026-09-30</t>
        </is>
      </c>
      <c r="M52" s="13" t="inlineStr">
        <is>
          <t>Referência de setor maduro: maturidade média ou alta em IA em 40% dos bancos e em IA generativa em 28% (cibersegurança 96%, nuvem 72%). Alta maturidade: uso estratégico, escalável e com impacto mensurável. 25 bancos, dez/2025–abr/2026.</t>
        </is>
      </c>
    </row>
    <row r="53">
      <c r="A53" s="12" t="inlineStr">
        <is>
          <t>F-0052</t>
        </is>
      </c>
      <c r="B53" s="13" t="inlineStr">
        <is>
          <t>Agricultura digital no Brasil: tendências, desafios e oportunidades — resultados de pesquisa online</t>
        </is>
      </c>
      <c r="C53" s="13" t="inlineStr">
        <is>
          <t>Embrapa; Sebrae; Inpe (É. L. Bolfe et al.)</t>
        </is>
      </c>
      <c r="D53" s="12" t="inlineStr">
        <is>
          <t>2020-08</t>
        </is>
      </c>
      <c r="E53" s="13" t="inlineStr">
        <is>
          <t>https://www.alice.cnptia.embrapa.br/alice/handle/doc/1127064</t>
        </is>
      </c>
      <c r="F53" s="13" t="inlineStr">
        <is>
          <t>levantamento setorial</t>
        </is>
      </c>
      <c r="G53" s="12" t="inlineStr">
        <is>
          <t>A</t>
        </is>
      </c>
      <c r="H53" s="13" t="inlineStr">
        <is>
          <t>aberto</t>
        </is>
      </c>
      <c r="I53" s="13" t="inlineStr"/>
      <c r="J53" s="13" t="inlineStr">
        <is>
          <t>2;3</t>
        </is>
      </c>
      <c r="K53" s="13" t="inlineStr">
        <is>
          <t>BIA-ACL-FM-01</t>
        </is>
      </c>
      <c r="L53" s="12" t="inlineStr">
        <is>
          <t>2026-09-30</t>
        </is>
      </c>
      <c r="M53" s="13" t="inlineStr">
        <is>
          <t>Pesquisa online de 17/04 a 02/06/2020 com 504 agricultores e 249 empresas ou prestadores. 84% dos produtores usam pelo menos uma tecnologia digital; imagens de satélite, drone ou VANT 17%; sensores de campo 16%; sistemas automatizados ou robotizados 6%. Custo do investimento é o principal desafio (67% dos agricultores). Amostra não probabilística, 72% dos agricultores com até 50 ha.</t>
        </is>
      </c>
    </row>
    <row r="54">
      <c r="A54" s="12" t="inlineStr">
        <is>
          <t>F-0053</t>
        </is>
      </c>
      <c r="B54" s="13" t="inlineStr">
        <is>
          <t>The Root Causes of Failure for Artificial Intelligence Projects and How They Can Succeed (RR-A2680-1)</t>
        </is>
      </c>
      <c r="C54" s="13" t="inlineStr">
        <is>
          <t>RAND Corporation (J. Ryseff, B. De Bruhl, S. J. Newberry)</t>
        </is>
      </c>
      <c r="D54" s="12" t="inlineStr">
        <is>
          <t>2024-08-13</t>
        </is>
      </c>
      <c r="E54" s="13" t="inlineStr">
        <is>
          <t>https://www.rand.org/pubs/research_reports/RRA2680-1.html</t>
        </is>
      </c>
      <c r="F54" s="13" t="inlineStr">
        <is>
          <t>pesquisa</t>
        </is>
      </c>
      <c r="G54" s="12" t="inlineStr">
        <is>
          <t>A</t>
        </is>
      </c>
      <c r="H54" s="13" t="inlineStr">
        <is>
          <t>aberto</t>
        </is>
      </c>
      <c r="I54" s="13" t="inlineStr"/>
      <c r="J54" s="13" t="inlineStr">
        <is>
          <t>1;2</t>
        </is>
      </c>
      <c r="K54" s="13" t="inlineStr">
        <is>
          <t>BIA-ACL-FM-01</t>
        </is>
      </c>
      <c r="L54" s="12" t="inlineStr">
        <is>
          <t>2026-09-30</t>
        </is>
      </c>
      <c r="M54" s="13" t="inlineStr">
        <is>
          <t>Entrevistas com 65 cientistas de dados e engenheiros. Cinco causas-raiz: problema mal entendido ou mal comunicado; falta de dados; foco na tecnologia e não no problema; falta de infraestrutura; problema difícil demais para a IA. O dado 'mais de 80% dos projetos falham, o dobro da TI sem IA' é estimativa de terceiros citada pela RAND, não medição própria. Exclui projetos que só usam LLMs pré-treinados.</t>
        </is>
      </c>
    </row>
    <row r="55">
      <c r="A55" s="12" t="inlineStr">
        <is>
          <t>F-0054</t>
        </is>
      </c>
      <c r="B55" s="13" t="inlineStr">
        <is>
          <t>The GenAI Divide: State of AI in Business 2025</t>
        </is>
      </c>
      <c r="C55" s="13" t="inlineStr">
        <is>
          <t>MIT NANDA (A. Challapally, C. Pease, R. Raskar, P. Chari)</t>
        </is>
      </c>
      <c r="D55" s="12" t="inlineStr">
        <is>
          <t>2025-07</t>
        </is>
      </c>
      <c r="E55" s="13" t="inlineStr">
        <is>
          <t>https://www.media.mit.edu/groups/nanda/overview/</t>
        </is>
      </c>
      <c r="F55" s="13" t="inlineStr">
        <is>
          <t>pesquisa</t>
        </is>
      </c>
      <c r="G55" s="12" t="inlineStr">
        <is>
          <t>A</t>
        </is>
      </c>
      <c r="H55" s="13" t="inlineStr">
        <is>
          <t>cadastro</t>
        </is>
      </c>
      <c r="I55" s="13" t="inlineStr"/>
      <c r="J55" s="13" t="inlineStr">
        <is>
          <t>2</t>
        </is>
      </c>
      <c r="K55" s="13" t="inlineStr">
        <is>
          <t>BIA-ACL-FM-01</t>
        </is>
      </c>
      <c r="L55" s="12" t="inlineStr">
        <is>
          <t>2026-09-30</t>
        </is>
      </c>
      <c r="M55" s="13" t="inlineStr">
        <is>
          <t>Achados preliminares, sem revisão por pares; amostra pequena (52 organizações entrevistadas, 153 líderes). Usar só os achados qualitativos: falhas por fluxos de trabalho frágeis e sistemas que não aprendem; parcerias externas chegam mais à implantação; iniciativas da linha de frente com responsabilização. Não usar o '95%' como estatística de mercado (ver críticas em 80,000 Hours).</t>
        </is>
      </c>
    </row>
    <row r="56">
      <c r="A56" s="12" t="inlineStr">
        <is>
          <t>F-0055</t>
        </is>
      </c>
      <c r="B56" s="13" t="inlineStr">
        <is>
          <t>The story behind the bad AI stat that moved markets and misled millions</t>
        </is>
      </c>
      <c r="C56" s="13" t="inlineStr">
        <is>
          <t>80,000 Hours (Robert Wiblin)</t>
        </is>
      </c>
      <c r="D56" s="12" t="inlineStr">
        <is>
          <t>2026-04-28</t>
        </is>
      </c>
      <c r="E56" s="13" t="inlineStr">
        <is>
          <t>https://80000hours.org/podcast/episodes/ai-workplace-mit-study/</t>
        </is>
      </c>
      <c r="F56" s="13" t="inlineStr">
        <is>
          <t>imprensa</t>
        </is>
      </c>
      <c r="G56" s="12" t="inlineStr">
        <is>
          <t>B</t>
        </is>
      </c>
      <c r="H56" s="13" t="inlineStr">
        <is>
          <t>aberto</t>
        </is>
      </c>
      <c r="I56" s="13" t="inlineStr"/>
      <c r="J56" s="13" t="inlineStr">
        <is>
          <t>2</t>
        </is>
      </c>
      <c r="K56" s="13" t="inlineStr">
        <is>
          <t>BIA-ACL-FM-01</t>
        </is>
      </c>
      <c r="L56" s="12" t="inlineStr">
        <is>
          <t>2026-09-30</t>
        </is>
      </c>
      <c r="M56" s="13" t="inlineStr">
        <is>
          <t>Crítica metodológica ao estudo MIT NANDA 2025: 80% das empresas pesquisadas nunca pilotaram ferramenta de IA sob medida; a taxa real 'poderia facilmente ser três vezes maior ou menor'.</t>
        </is>
      </c>
    </row>
    <row r="57">
      <c r="A57" s="12" t="inlineStr">
        <is>
          <t>F-0056</t>
        </is>
      </c>
      <c r="B57" s="13" t="inlineStr">
        <is>
          <t>Levels of Autonomy for AI Agents (arXiv 2506.12469)</t>
        </is>
      </c>
      <c r="C57" s="13" t="inlineStr">
        <is>
          <t>K. J. Kevin Feng, David W. McDonald, Amy X. Zhang — University of Washington; Knight First Amendment Institute</t>
        </is>
      </c>
      <c r="D57" s="12" t="inlineStr">
        <is>
          <t>2025-07-28</t>
        </is>
      </c>
      <c r="E57" s="13" t="inlineStr">
        <is>
          <t>https://arxiv.org/abs/2506.12469</t>
        </is>
      </c>
      <c r="F57" s="13" t="inlineStr">
        <is>
          <t>pesquisa acadêmica</t>
        </is>
      </c>
      <c r="G57" s="12" t="inlineStr">
        <is>
          <t>A</t>
        </is>
      </c>
      <c r="H57" s="13" t="inlineStr">
        <is>
          <t>aberto</t>
        </is>
      </c>
      <c r="I57" s="13" t="inlineStr"/>
      <c r="J57" s="13" t="inlineStr">
        <is>
          <t>2;3</t>
        </is>
      </c>
      <c r="K57" s="13" t="inlineStr">
        <is>
          <t>BIA-ACL-FM-01</t>
        </is>
      </c>
      <c r="L57" s="12" t="inlineStr">
        <is>
          <t>2026-09-30</t>
        </is>
      </c>
      <c r="M57" s="13" t="inlineStr">
        <is>
          <t>Cinco níveis pelo papel do usuário: L1 operador, L2 colaborador, L3 consultor, L4 aprovador, L5 observador. Autonomia como decisão de desenho, separada da capacidade do agente. Preprint (v2).</t>
        </is>
      </c>
    </row>
    <row r="58">
      <c r="A58" s="12" t="inlineStr">
        <is>
          <t>F-0057</t>
        </is>
      </c>
      <c r="B58" s="13" t="inlineStr">
        <is>
          <t>Rise of agentic AI: How trust is the key to human-AI collaboration</t>
        </is>
      </c>
      <c r="C58" s="13" t="inlineStr">
        <is>
          <t>Capgemini Research Institute</t>
        </is>
      </c>
      <c r="D58" s="12" t="inlineStr">
        <is>
          <t>2025-07-16</t>
        </is>
      </c>
      <c r="E58" s="13" t="inlineStr">
        <is>
          <t>https://www.capgemini.com/wp-content/uploads/2025/07/Final-Web-Version-Report-AI-Agents.pdf</t>
        </is>
      </c>
      <c r="F58" s="13" t="inlineStr">
        <is>
          <t>relatório de consultoria</t>
        </is>
      </c>
      <c r="G58" s="12" t="inlineStr">
        <is>
          <t>A</t>
        </is>
      </c>
      <c r="H58" s="13" t="inlineStr">
        <is>
          <t>aberto</t>
        </is>
      </c>
      <c r="I58" s="13" t="inlineStr"/>
      <c r="J58" s="13" t="inlineStr">
        <is>
          <t>2;3</t>
        </is>
      </c>
      <c r="K58" s="13" t="inlineStr">
        <is>
          <t>BIA-ACL-FM-01</t>
        </is>
      </c>
      <c r="L58" s="12" t="inlineStr">
        <is>
          <t>2026-09-30</t>
        </is>
      </c>
      <c r="M58" s="13" t="inlineStr">
        <is>
          <t>Escala de autonomia de 0 a 5. Confiança em agentes totalmente autônomos caiu de 43% para 27%; 14% implementaram agentes (12% em escala parcial, 2% em escala total); 80% sem infraestrutura de IA madura. 1.500 executivos de empresas com receita acima de US$ 1 bi, 14 países, abr/2025.</t>
        </is>
      </c>
    </row>
    <row r="59">
      <c r="A59" s="12" t="inlineStr">
        <is>
          <t>F-0058</t>
        </is>
      </c>
      <c r="B59" s="13" t="inlineStr">
        <is>
          <t>Ethics Guidelines for Trustworthy AI</t>
        </is>
      </c>
      <c r="C59" s="13" t="inlineStr">
        <is>
          <t>High-Level Expert Group on AI (Comissão Europeia)</t>
        </is>
      </c>
      <c r="D59" s="12" t="inlineStr">
        <is>
          <t>2019-04-08</t>
        </is>
      </c>
      <c r="E59" s="13" t="inlineStr">
        <is>
          <t>https://ec.europa.eu/newsroom/dae/document.cfm?doc_id=60419</t>
        </is>
      </c>
      <c r="F59" s="13" t="inlineStr">
        <is>
          <t>diretriz</t>
        </is>
      </c>
      <c r="G59" s="12" t="inlineStr">
        <is>
          <t>A</t>
        </is>
      </c>
      <c r="H59" s="13" t="inlineStr">
        <is>
          <t>aberto</t>
        </is>
      </c>
      <c r="I59" s="13" t="inlineStr"/>
      <c r="J59" s="13" t="inlineStr">
        <is>
          <t>2</t>
        </is>
      </c>
      <c r="K59" s="13" t="inlineStr">
        <is>
          <t>BIA-ACL-FM-01</t>
        </is>
      </c>
      <c r="L59" s="12" t="inlineStr">
        <is>
          <t>2026-09-30</t>
        </is>
      </c>
      <c r="M59" s="13" t="inlineStr">
        <is>
          <t>Definições de supervisão humana: human-in-the-loop (intervenção em cada ciclo de decisão), human-on-the-loop (monitoramento da operação) e human-in-command. Quanto menor a supervisão possível, mais testes e governança são exigidos.</t>
        </is>
      </c>
    </row>
    <row r="60">
      <c r="A60" s="12" t="inlineStr">
        <is>
          <t>F-0059</t>
        </is>
      </c>
      <c r="B60" s="13" t="inlineStr">
        <is>
          <t>Artificial Intelligence Risk Management Framework (AI RMF 1.0) — NIST AI 100-1</t>
        </is>
      </c>
      <c r="C60" s="13" t="inlineStr">
        <is>
          <t>National Institute of Standards and Technology (NIST), EUA</t>
        </is>
      </c>
      <c r="D60" s="12" t="inlineStr">
        <is>
          <t>2023-01-26</t>
        </is>
      </c>
      <c r="E60" s="13" t="inlineStr">
        <is>
          <t>https://nvlpubs.nist.gov/nistpubs/ai/NIST.AI.100-1.pdf</t>
        </is>
      </c>
      <c r="F60" s="13" t="inlineStr">
        <is>
          <t>norma técnica</t>
        </is>
      </c>
      <c r="G60" s="12" t="inlineStr">
        <is>
          <t>A</t>
        </is>
      </c>
      <c r="H60" s="13" t="inlineStr">
        <is>
          <t>aberto</t>
        </is>
      </c>
      <c r="I60" s="13" t="inlineStr"/>
      <c r="J60" s="13" t="inlineStr">
        <is>
          <t>2</t>
        </is>
      </c>
      <c r="K60" s="13" t="inlineStr">
        <is>
          <t>BIA-ACL-FM-01</t>
        </is>
      </c>
      <c r="L60" s="12" t="inlineStr">
        <is>
          <t>2026-09-30</t>
        </is>
      </c>
      <c r="M60" s="13" t="inlineStr">
        <is>
          <t>Quatro funções: Govern (transversal), Map, Measure, Manage. Uso voluntário. Em revisão em 2026 (página do NIST).</t>
        </is>
      </c>
    </row>
    <row r="61">
      <c r="A61" s="12" t="inlineStr">
        <is>
          <t>F-0060</t>
        </is>
      </c>
      <c r="B61" s="13" t="inlineStr">
        <is>
          <t>Artificial Intelligence Risk Management Framework: Generative Artificial Intelligence Profile — NIST AI 600-1</t>
        </is>
      </c>
      <c r="C61" s="13" t="inlineStr">
        <is>
          <t>NIST</t>
        </is>
      </c>
      <c r="D61" s="12" t="inlineStr">
        <is>
          <t>2024-07-26</t>
        </is>
      </c>
      <c r="E61" s="13" t="inlineStr">
        <is>
          <t>https://nvlpubs.nist.gov/nistpubs/ai/NIST.AI.600-1.pdf</t>
        </is>
      </c>
      <c r="F61" s="13" t="inlineStr">
        <is>
          <t>norma técnica</t>
        </is>
      </c>
      <c r="G61" s="12" t="inlineStr">
        <is>
          <t>A</t>
        </is>
      </c>
      <c r="H61" s="13" t="inlineStr">
        <is>
          <t>aberto</t>
        </is>
      </c>
      <c r="I61" s="13" t="inlineStr"/>
      <c r="J61" s="13" t="inlineStr">
        <is>
          <t>2;3</t>
        </is>
      </c>
      <c r="K61" s="13" t="inlineStr">
        <is>
          <t>BIA-ACL-FM-01</t>
        </is>
      </c>
      <c r="L61" s="12" t="inlineStr">
        <is>
          <t>2026-09-30</t>
        </is>
      </c>
      <c r="M61" s="13" t="inlineStr">
        <is>
          <t>12 riscos próprios ou agravados pela IA generativa, entre eles confabulação, configuração humano-IA (viés de automação) e integridade da cadeia de valor e componentes.</t>
        </is>
      </c>
    </row>
    <row r="62">
      <c r="A62" s="12" t="inlineStr">
        <is>
          <t>F-0061</t>
        </is>
      </c>
      <c r="B62" s="13" t="inlineStr">
        <is>
          <t>ISO/IEC 42001:2023 — Information technology — Artificial intelligence — Management system (adotada no Brasil como ABNT NBR ISO/IEC 42001:2024)</t>
        </is>
      </c>
      <c r="C62" s="13" t="inlineStr">
        <is>
          <t>ISO/IEC JTC 1/SC 42; ABNT</t>
        </is>
      </c>
      <c r="D62" s="12" t="inlineStr">
        <is>
          <t>2023-12-18</t>
        </is>
      </c>
      <c r="E62" s="13" t="inlineStr">
        <is>
          <t>https://webstore.iec.ch/en/publication/90574</t>
        </is>
      </c>
      <c r="F62" s="13" t="inlineStr">
        <is>
          <t>norma técnica</t>
        </is>
      </c>
      <c r="G62" s="12" t="inlineStr">
        <is>
          <t>A</t>
        </is>
      </c>
      <c r="H62" s="13" t="inlineStr">
        <is>
          <t>pago (resumo aberto)</t>
        </is>
      </c>
      <c r="I62" s="13" t="inlineStr"/>
      <c r="J62" s="13" t="inlineStr">
        <is>
          <t>2</t>
        </is>
      </c>
      <c r="K62" s="13" t="inlineStr">
        <is>
          <t>BIA-ACL-FM-01</t>
        </is>
      </c>
      <c r="L62" s="12" t="inlineStr">
        <is>
          <t>2026-09-30</t>
        </is>
      </c>
      <c r="M62" s="13" t="inlineStr">
        <is>
          <t>Requisitos para estabelecer, implementar, manter e melhorar continuamente um sistema de gestão de IA; aplicável a qualquer organização que forneça ou use IA. Versão ABNT publicada em 04/2024 (ficha de distribuidor). Cláusulas e Anexo A não verificados (norma paga).</t>
        </is>
      </c>
    </row>
    <row r="63">
      <c r="A63" s="12" t="inlineStr">
        <is>
          <t>F-0062</t>
        </is>
      </c>
      <c r="B63" s="13" t="inlineStr">
        <is>
          <t>Regulation (EU) 2024/1689 — Artificial Intelligence Act</t>
        </is>
      </c>
      <c r="C63" s="13" t="inlineStr">
        <is>
          <t>Parlamento Europeu e Conselho da União Europeia</t>
        </is>
      </c>
      <c r="D63" s="12" t="inlineStr">
        <is>
          <t>2024-06-13</t>
        </is>
      </c>
      <c r="E63" s="13" t="inlineStr">
        <is>
          <t>https://ai-act-service-desk.ec.europa.eu/en/ai-act/article-113</t>
        </is>
      </c>
      <c r="F63" s="13" t="inlineStr">
        <is>
          <t>legislação</t>
        </is>
      </c>
      <c r="G63" s="12" t="inlineStr">
        <is>
          <t>A</t>
        </is>
      </c>
      <c r="H63" s="13" t="inlineStr">
        <is>
          <t>aberto</t>
        </is>
      </c>
      <c r="I63" s="13" t="inlineStr"/>
      <c r="J63" s="13" t="inlineStr">
        <is>
          <t>2;3</t>
        </is>
      </c>
      <c r="K63" s="13" t="inlineStr">
        <is>
          <t>BIA-ACL-FM-01</t>
        </is>
      </c>
      <c r="L63" s="12" t="inlineStr">
        <is>
          <t>2026-09-30</t>
        </is>
      </c>
      <c r="M63" s="13" t="inlineStr">
        <is>
          <t>Em vigor desde 01/08/2024. Proibições e letramento em IA desde 02/02/2025; modelos de propósito geral desde 02/08/2025; aplicação geral desde 02/08/2026. Art. 14: supervisão humana proporcional aos riscos, ao nível de autonomia e ao contexto de uso (https://ai-act-service-desk.ec.europa.eu/en/ai-act/article-14).</t>
        </is>
      </c>
    </row>
    <row r="64">
      <c r="A64" s="12" t="inlineStr">
        <is>
          <t>F-0063</t>
        </is>
      </c>
      <c r="B64" s="13" t="inlineStr">
        <is>
          <t>Regulation (EU) 2026/1744 — Digital Omnibus on AI (altera o Regulamento 2024/1689)</t>
        </is>
      </c>
      <c r="C64" s="13" t="inlineStr">
        <is>
          <t>Parlamento Europeu e Conselho da União Europeia</t>
        </is>
      </c>
      <c r="D64" s="12" t="inlineStr">
        <is>
          <t>2026-07-24</t>
        </is>
      </c>
      <c r="E64" s="13" t="inlineStr">
        <is>
          <t>https://eur-lex.europa.eu/eli/reg/2026/1744/oj</t>
        </is>
      </c>
      <c r="F64" s="13" t="inlineStr">
        <is>
          <t>legislação</t>
        </is>
      </c>
      <c r="G64" s="12" t="inlineStr">
        <is>
          <t>A</t>
        </is>
      </c>
      <c r="H64" s="13" t="inlineStr">
        <is>
          <t>aberto</t>
        </is>
      </c>
      <c r="I64" s="13" t="inlineStr"/>
      <c r="J64" s="13" t="inlineStr">
        <is>
          <t>3</t>
        </is>
      </c>
      <c r="K64" s="13" t="inlineStr">
        <is>
          <t>BIA-ACL-FM-01</t>
        </is>
      </c>
      <c r="L64" s="12" t="inlineStr">
        <is>
          <t>2026-09-30</t>
        </is>
      </c>
      <c r="M64" s="13" t="inlineStr">
        <is>
          <t>Em vigor desde 27/07/2026. Adia as regras de alto risco para 02/12/2027 (Anexo III) e 02/08/2028 (Anexo I), por atraso de normas técnicas e de autoridades nacionais (considerando 40). Lido via web.archive.org (cópia arquivada da página oficial; site original bloqueia acesso automatizado) e página da Comissão (digital-strategy.ec.europa.eu, atualizada em 03/08/2026).</t>
        </is>
      </c>
    </row>
    <row r="65">
      <c r="A65" s="12" t="inlineStr">
        <is>
          <t>F-0064</t>
        </is>
      </c>
      <c r="B65" s="13" t="inlineStr">
        <is>
          <t>PL 2338/2023 — Marco legal da inteligência artificial</t>
        </is>
      </c>
      <c r="C65" s="13" t="inlineStr">
        <is>
          <t>Senado Federal (autor: Sen. Rodrigo Pacheco); Câmara dos Deputados</t>
        </is>
      </c>
      <c r="D65" s="12" t="inlineStr">
        <is>
          <t>2023-05-03</t>
        </is>
      </c>
      <c r="E65" s="13" t="inlineStr">
        <is>
          <t>https://www25.senado.leg.br/web/atividade/materias/-/materia/157233</t>
        </is>
      </c>
      <c r="F65" s="13" t="inlineStr">
        <is>
          <t>legislação (projeto de lei)</t>
        </is>
      </c>
      <c r="G65" s="12" t="inlineStr">
        <is>
          <t>A</t>
        </is>
      </c>
      <c r="H65" s="13" t="inlineStr">
        <is>
          <t>aberto</t>
        </is>
      </c>
      <c r="I65" s="13" t="inlineStr"/>
      <c r="J65" s="13" t="inlineStr">
        <is>
          <t>3</t>
        </is>
      </c>
      <c r="K65" s="13" t="inlineStr">
        <is>
          <t>BIA-ACL-FM-01</t>
        </is>
      </c>
      <c r="L65" s="12" t="inlineStr">
        <is>
          <t>2026-09-30</t>
        </is>
      </c>
      <c r="M65" s="13" t="inlineStr">
        <is>
          <t>Substitutivo aprovado no Senado em 10/12/2024; na Câmara desde 17/03/2025, comissão especial, relator Dep. Aguinaldo Ribeiro. Situação em 02/09/2026: aguardando parecer (dadosabertos.camara.leg.br, proposição 2487262). Texto do Senado: ANPD coordena o Sistema Nacional de Regulação e Governança de IA (art. 45).</t>
        </is>
      </c>
    </row>
    <row r="66">
      <c r="A66" s="12" t="inlineStr">
        <is>
          <t>F-0065</t>
        </is>
      </c>
      <c r="B66" s="13" t="inlineStr">
        <is>
          <t>PL 6237/2025 — Institui o Sistema Nacional para Desenvolvimento, Regulação e Governança de Inteligência Artificial</t>
        </is>
      </c>
      <c r="C66" s="13" t="inlineStr">
        <is>
          <t>Poder Executivo; Câmara dos Deputados</t>
        </is>
      </c>
      <c r="D66" s="12" t="inlineStr">
        <is>
          <t>2025-12-08</t>
        </is>
      </c>
      <c r="E66" s="13" t="inlineStr">
        <is>
          <t>https://www.camara.leg.br/proposicoesWeb/prop_mostrarintegra?codteor=3063060</t>
        </is>
      </c>
      <c r="F66" s="13" t="inlineStr">
        <is>
          <t>legislação (projeto de lei)</t>
        </is>
      </c>
      <c r="G66" s="12" t="inlineStr">
        <is>
          <t>A</t>
        </is>
      </c>
      <c r="H66" s="13" t="inlineStr">
        <is>
          <t>aberto</t>
        </is>
      </c>
      <c r="I66" s="13" t="inlineStr"/>
      <c r="J66" s="13" t="inlineStr">
        <is>
          <t>3</t>
        </is>
      </c>
      <c r="K66" s="13" t="inlineStr">
        <is>
          <t>BIA-ACL-FM-01</t>
        </is>
      </c>
      <c r="L66" s="12" t="inlineStr">
        <is>
          <t>2026-09-30</t>
        </is>
      </c>
      <c r="M66" s="13" t="inlineStr">
        <is>
          <t>Tramita em conjunto com o PL 2338/2023. ANPD como reguladora residual das atividades sem regulador setorial (art. 6º).</t>
        </is>
      </c>
    </row>
    <row r="67">
      <c r="A67" s="12" t="inlineStr">
        <is>
          <t>F-0066</t>
        </is>
      </c>
      <c r="B67" s="13" t="inlineStr">
        <is>
          <t>Sancionada lei que cria a Agência Nacional de Proteção de Dados (Lei 15.352/2026)</t>
        </is>
      </c>
      <c r="C67" s="13" t="inlineStr">
        <is>
          <t>Agência Senado</t>
        </is>
      </c>
      <c r="D67" s="12" t="inlineStr">
        <is>
          <t>2026-02-26</t>
        </is>
      </c>
      <c r="E67" s="13" t="inlineStr">
        <is>
          <t>https://www12.senado.leg.br/noticias/materias/2026/02/26/sancionada-lei-que-cria-a-agencia-nacional-de-protecao-de-dados</t>
        </is>
      </c>
      <c r="F67" s="13" t="inlineStr">
        <is>
          <t>comunicado oficial</t>
        </is>
      </c>
      <c r="G67" s="12" t="inlineStr">
        <is>
          <t>A</t>
        </is>
      </c>
      <c r="H67" s="13" t="inlineStr">
        <is>
          <t>aberto</t>
        </is>
      </c>
      <c r="I67" s="13" t="inlineStr"/>
      <c r="J67" s="13" t="inlineStr">
        <is>
          <t>3</t>
        </is>
      </c>
      <c r="K67" s="13" t="inlineStr">
        <is>
          <t>BIA-ACL-FM-01</t>
        </is>
      </c>
      <c r="L67" s="12" t="inlineStr">
        <is>
          <t>2026-09-30</t>
        </is>
      </c>
      <c r="M67" s="13" t="inlineStr">
        <is>
          <t>ANPD transformada em agência com autonomia funcional, técnica, decisória, administrativa e financeira.</t>
        </is>
      </c>
    </row>
    <row r="68">
      <c r="A68" s="12" t="inlineStr">
        <is>
          <t>F-0067</t>
        </is>
      </c>
      <c r="B68" s="13" t="inlineStr">
        <is>
          <t>Plano Brasileiro de Inteligência Artificial 2024–2028 — IA para o bem de todos</t>
        </is>
      </c>
      <c r="C68" s="13" t="inlineStr">
        <is>
          <t>MCTI; Conselho Nacional de Ciência e Tecnologia; CGEE</t>
        </is>
      </c>
      <c r="D68" s="12" t="inlineStr">
        <is>
          <t>2024-07-30</t>
        </is>
      </c>
      <c r="E68" s="13" t="inlineStr">
        <is>
          <t>https://www.gov.br/mcti/pt-br/acompanhe-o-mcti/transformacaodigital/plano-brasileiro-de-inteligencia-artificial-pbia-_vf.pdf</t>
        </is>
      </c>
      <c r="F68" s="13" t="inlineStr">
        <is>
          <t>política pública</t>
        </is>
      </c>
      <c r="G68" s="12" t="inlineStr">
        <is>
          <t>A</t>
        </is>
      </c>
      <c r="H68" s="13" t="inlineStr">
        <is>
          <t>aberto</t>
        </is>
      </c>
      <c r="I68" s="13" t="inlineStr"/>
      <c r="J68" s="13" t="inlineStr">
        <is>
          <t>3</t>
        </is>
      </c>
      <c r="K68" s="13" t="inlineStr">
        <is>
          <t>BIA-ACL-FM-01</t>
        </is>
      </c>
      <c r="L68" s="12" t="inlineStr">
        <is>
          <t>2026-09-30</t>
        </is>
      </c>
      <c r="M68" s="13" t="inlineStr">
        <is>
          <t>R$ 23,03 bilhões previstos para 2024–2028; 59,9% no eixo de inovação empresarial e 0,4% em regulação e governança. Ação Ater Digital - IA: R$ 85 milhões, meta de 1,5 milhão de produtores rurais. Investimento previsto, não executado.</t>
        </is>
      </c>
    </row>
    <row r="69">
      <c r="A69" s="12" t="inlineStr">
        <is>
          <t>F-0068</t>
        </is>
      </c>
      <c r="B69" s="13" t="inlineStr">
        <is>
          <t>ISO 18497-1:2024 — Agricultural machinery and tractors — Safety of partially automated, semi-autonomous and autonomous machinery — Part 1: Machine design principles and vocabulary</t>
        </is>
      </c>
      <c r="C69" s="13" t="inlineStr">
        <is>
          <t>ISO/TC 23/SC 19</t>
        </is>
      </c>
      <c r="D69" s="12" t="inlineStr">
        <is>
          <t>2024-07</t>
        </is>
      </c>
      <c r="E69" s="13" t="inlineStr">
        <is>
          <t>https://www.iso.org/standard/82684.html</t>
        </is>
      </c>
      <c r="F69" s="13" t="inlineStr">
        <is>
          <t>norma técnica</t>
        </is>
      </c>
      <c r="G69" s="12" t="inlineStr">
        <is>
          <t>A</t>
        </is>
      </c>
      <c r="H69" s="13" t="inlineStr">
        <is>
          <t>pago (prévia aberta)</t>
        </is>
      </c>
      <c r="I69" s="13" t="inlineStr"/>
      <c r="J69" s="13" t="inlineStr">
        <is>
          <t>2;3</t>
        </is>
      </c>
      <c r="K69" s="13" t="inlineStr">
        <is>
          <t>BIA-ACL-FM-01</t>
        </is>
      </c>
      <c r="L69" s="12" t="inlineStr">
        <is>
          <t>2026-09-30</t>
        </is>
      </c>
      <c r="M69" s="13" t="inlineStr">
        <is>
          <t>Substitui a ISO 18497:2018. Recusou de propósito a escala de seis níveis da SAE J3016 e descreve combinações de funções: parcialmente automatizado, semiautônomo (modo autônomo em parte do ciclo) e autônomo (modo autônomo em todo o ciclo); 'não é nível nem categoria de máquina'. Programar a máquina não conta como interação do operador. Não se aplica a atividade florestal. Prévia lida em cdn.standards.iteh.ai.</t>
        </is>
      </c>
    </row>
    <row r="70">
      <c r="A70" s="12" t="inlineStr">
        <is>
          <t>F-0069</t>
        </is>
      </c>
      <c r="B70" s="13" t="inlineStr">
        <is>
          <t>Autonomy in Ag (projeto AUT)</t>
        </is>
      </c>
      <c r="C70" s="13" t="inlineStr">
        <is>
          <t>Agricultural Industry Electronics Foundation (AEF)</t>
        </is>
      </c>
      <c r="D70" s="12" t="inlineStr">
        <is>
          <t>2024-10-10</t>
        </is>
      </c>
      <c r="E70" s="13" t="inlineStr">
        <is>
          <t>https://www.aef-online.org/aef-aut/</t>
        </is>
      </c>
      <c r="F70" s="13" t="inlineStr">
        <is>
          <t>levantamento setorial</t>
        </is>
      </c>
      <c r="G70" s="12" t="inlineStr">
        <is>
          <t>A</t>
        </is>
      </c>
      <c r="H70" s="13" t="inlineStr">
        <is>
          <t>aberto</t>
        </is>
      </c>
      <c r="I70" s="13" t="inlineStr"/>
      <c r="J70" s="13" t="inlineStr">
        <is>
          <t>2;3</t>
        </is>
      </c>
      <c r="K70" s="13" t="inlineStr">
        <is>
          <t>BIA-ACL-FM-01</t>
        </is>
      </c>
      <c r="L70" s="12" t="inlineStr">
        <is>
          <t>2026-09-30</t>
        </is>
      </c>
      <c r="M70" s="13" t="inlineStr">
        <is>
          <t>Iniciativa de padronização da indústria (desde mai/2024). A máquina autônoma assume três responsabilidades do operador: conduzir monitorando o ambiente, monitorar a saúde da máquina e garantir a qualidade do trabalho. Não define níveis.</t>
        </is>
      </c>
    </row>
    <row r="71">
      <c r="A71" s="12" t="inlineStr">
        <is>
          <t>F-0070</t>
        </is>
      </c>
      <c r="B71" s="13" t="inlineStr">
        <is>
          <t>Agricultural Industry Initiatives on Autonomy (arXiv 2501.17962)</t>
        </is>
      </c>
      <c r="C71" s="13" t="inlineStr">
        <is>
          <t>G. Happich, A. Grever, J. Schöning</t>
        </is>
      </c>
      <c r="D71" s="12" t="inlineStr">
        <is>
          <t>2025-01-29</t>
        </is>
      </c>
      <c r="E71" s="13" t="inlineStr">
        <is>
          <t>https://arxiv.org/abs/2501.17962</t>
        </is>
      </c>
      <c r="F71" s="13" t="inlineStr">
        <is>
          <t>pesquisa acadêmica</t>
        </is>
      </c>
      <c r="G71" s="12" t="inlineStr">
        <is>
          <t>B</t>
        </is>
      </c>
      <c r="H71" s="13" t="inlineStr">
        <is>
          <t>aberto</t>
        </is>
      </c>
      <c r="I71" s="13" t="inlineStr"/>
      <c r="J71" s="13" t="inlineStr">
        <is>
          <t>3</t>
        </is>
      </c>
      <c r="K71" s="13" t="inlineStr">
        <is>
          <t>BIA-ACL-FM-01</t>
        </is>
      </c>
      <c r="L71" s="12" t="inlineStr">
        <is>
          <t>2026-09-30</t>
        </is>
      </c>
      <c r="M71" s="13" t="inlineStr">
        <is>
          <t>Workshop VDMA–AEF (2024): as especificações da ISO 18497 são insuficientes para a entrada segura de máquinas agrícolas autônomas no mercado; não há padrão de domínio operacional agrícola. Preprint de autores ligados à indústria.</t>
        </is>
      </c>
    </row>
    <row r="72">
      <c r="A72" s="12" t="inlineStr">
        <is>
          <t>F-0071</t>
        </is>
      </c>
      <c r="B72" s="13" t="inlineStr">
        <is>
          <t>CEMA's position on Agricultural Robots</t>
        </is>
      </c>
      <c r="C72" s="13" t="inlineStr">
        <is>
          <t>CEMA — European Agricultural Machinery Association</t>
        </is>
      </c>
      <c r="D72" s="12" t="inlineStr">
        <is>
          <t>2025-11-17</t>
        </is>
      </c>
      <c r="E72" s="13" t="inlineStr">
        <is>
          <t>https://www.cema-agri.org/images/publications/position-papers/2025-CEMA_Position_on_Agricultural_Robots.pdf</t>
        </is>
      </c>
      <c r="F72" s="13" t="inlineStr">
        <is>
          <t>levantamento setorial</t>
        </is>
      </c>
      <c r="G72" s="12" t="inlineStr">
        <is>
          <t>A</t>
        </is>
      </c>
      <c r="H72" s="13" t="inlineStr">
        <is>
          <t>aberto</t>
        </is>
      </c>
      <c r="I72" s="13" t="inlineStr"/>
      <c r="J72" s="13" t="inlineStr">
        <is>
          <t>3</t>
        </is>
      </c>
      <c r="K72" s="13" t="inlineStr">
        <is>
          <t>BIA-ACL-FM-01</t>
        </is>
      </c>
      <c r="L72" s="12" t="inlineStr">
        <is>
          <t>2026-09-30</t>
        </is>
      </c>
      <c r="M72" s="13" t="inlineStr">
        <is>
          <t>As normas técnicas para avaliação de risco de robôs agrícolas ainda estão em desenvolvimento; custo inicial alto limita a adoção, sobretudo em fazendas pequenas e médias.</t>
        </is>
      </c>
    </row>
    <row r="73">
      <c r="A73" s="12" t="inlineStr">
        <is>
          <t>F-0072</t>
        </is>
      </c>
      <c r="B73" s="13" t="inlineStr">
        <is>
          <t>The State of Food and Agriculture 2022. Leveraging automation in agriculture for transforming agrifood systems</t>
        </is>
      </c>
      <c r="C73" s="13" t="inlineStr">
        <is>
          <t>FAO</t>
        </is>
      </c>
      <c r="D73" s="12" t="inlineStr">
        <is>
          <t>2022-11-02</t>
        </is>
      </c>
      <c r="E73" s="13" t="inlineStr">
        <is>
          <t>https://www.fao.org/3/cb9479en/cb9479en.pdf</t>
        </is>
      </c>
      <c r="F73" s="13" t="inlineStr">
        <is>
          <t>dado oficial</t>
        </is>
      </c>
      <c r="G73" s="12" t="inlineStr">
        <is>
          <t>A</t>
        </is>
      </c>
      <c r="H73" s="13" t="inlineStr">
        <is>
          <t>aberto</t>
        </is>
      </c>
      <c r="I73" s="13" t="inlineStr"/>
      <c r="J73" s="13" t="inlineStr">
        <is>
          <t>2;3</t>
        </is>
      </c>
      <c r="K73" s="13" t="inlineStr">
        <is>
          <t>BIA-ACL-FM-01</t>
        </is>
      </c>
      <c r="L73" s="12" t="inlineStr">
        <is>
          <t>2026-09-30</t>
        </is>
      </c>
      <c r="M73" s="13" t="inlineStr">
        <is>
          <t>Toda operação tem três fases: diagnóstico, decisão e execução. Estágios: manual, tração animal, mecanização motorizada, equipamento digital, robótica com IA (máquinas diagnosticam, decidem e executam; humanos monitoram). Prontidão: protótipo, perto do mercado, em escala, maduro. Robôs autônomos de lavoura só recentemente em uso comercial; supervisão remota ótima só com operação relativamente livre de falhas. Drones de aplicação comuns no Brasil e na China.</t>
        </is>
      </c>
    </row>
    <row r="74">
      <c r="A74" s="12" t="inlineStr">
        <is>
          <t>F-0073</t>
        </is>
      </c>
      <c r="B74" s="13" t="inlineStr">
        <is>
          <t>Digital twins in smart farming</t>
        </is>
      </c>
      <c r="C74" s="13" t="inlineStr">
        <is>
          <t>C. Verdouw, B. Tekinerdogan, A. Beulens, S. Wolfert (Wageningen) — Agricultural Systems 189</t>
        </is>
      </c>
      <c r="D74" s="12" t="inlineStr">
        <is>
          <t>2021-04</t>
        </is>
      </c>
      <c r="E74" s="13" t="inlineStr">
        <is>
          <t>https://edepot.wur.nl/541204</t>
        </is>
      </c>
      <c r="F74" s="13" t="inlineStr">
        <is>
          <t>pesquisa acadêmica</t>
        </is>
      </c>
      <c r="G74" s="12" t="inlineStr">
        <is>
          <t>A</t>
        </is>
      </c>
      <c r="H74" s="13" t="inlineStr">
        <is>
          <t>aberto</t>
        </is>
      </c>
      <c r="I74" s="13" t="inlineStr"/>
      <c r="J74" s="13" t="inlineStr">
        <is>
          <t>2;3</t>
        </is>
      </c>
      <c r="K74" s="13" t="inlineStr">
        <is>
          <t>BIA-ACL-FM-01</t>
        </is>
      </c>
      <c r="L74" s="12" t="inlineStr">
        <is>
          <t>2026-09-30</t>
        </is>
      </c>
      <c r="M74" s="13" t="inlineStr">
        <is>
          <t>Tipos cumulativos: monitoramento, preditivo, prescritivo (decisão ainda humana) e autônomo (controla o objeto sem intervenção humana). Nenhum dos casos estudados tinha gêmeo digital autônomo.</t>
        </is>
      </c>
    </row>
    <row r="75">
      <c r="A75" s="12" t="inlineStr">
        <is>
          <t>F-0074</t>
        </is>
      </c>
      <c r="B75" s="13" t="inlineStr">
        <is>
          <t>Digital Farming: what does it really mean?</t>
        </is>
      </c>
      <c r="C75" s="13" t="inlineStr">
        <is>
          <t>CEMA — European Agricultural Machinery Association</t>
        </is>
      </c>
      <c r="D75" s="12" t="inlineStr">
        <is>
          <t>2017-02-13</t>
        </is>
      </c>
      <c r="E75" s="13" t="inlineStr">
        <is>
          <t>https://www.cema-agri.org/images/publications/position-papers/CEMA_Digital_Farming_-_Agriculture_4.0__13_02_2017_0.pdf</t>
        </is>
      </c>
      <c r="F75" s="13" t="inlineStr">
        <is>
          <t>levantamento setorial</t>
        </is>
      </c>
      <c r="G75" s="12" t="inlineStr">
        <is>
          <t>A</t>
        </is>
      </c>
      <c r="H75" s="13" t="inlineStr">
        <is>
          <t>aberto</t>
        </is>
      </c>
      <c r="I75" s="13" t="inlineStr"/>
      <c r="J75" s="13" t="inlineStr">
        <is>
          <t>3</t>
        </is>
      </c>
      <c r="K75" s="13" t="inlineStr">
        <is>
          <t>BIA-ACL-FM-01</t>
        </is>
      </c>
      <c r="L75" s="12" t="inlineStr">
        <is>
          <t>2026-09-30</t>
        </is>
      </c>
      <c r="M75" s="13" t="inlineStr">
        <is>
          <t>Eras da agricultura: 3.0 (precisão, guiagem por GPS) e 4.0 (operações em rede, desde cerca de 2010); a agricultura 5.0 será baseada em robótica e alguma forma de IA, com operações não tripuladas e sistemas autônomos de decisão.</t>
        </is>
      </c>
    </row>
    <row r="76">
      <c r="A76" s="12" t="inlineStr">
        <is>
          <t>F-0075</t>
        </is>
      </c>
      <c r="B76" s="13" t="inlineStr">
        <is>
          <t>Agricultura digital, inovação e aplicações (cap. 2 de Inovação e desenvolvimento em cana-de-açúcar)</t>
        </is>
      </c>
      <c r="C76" s="13" t="inlineStr">
        <is>
          <t>Embrapa; UFRPE (M. A. A. Leite, S. M. F. S. Massruhá, K. J. Coral)</t>
        </is>
      </c>
      <c r="D76" s="12" t="inlineStr">
        <is>
          <t>2024</t>
        </is>
      </c>
      <c r="E76" s="13" t="inlineStr">
        <is>
          <t>https://www.alice.cnptia.embrapa.br/alice/bitstream/doc/1166995/1/PL-Agricultura-digital-2024.pdf</t>
        </is>
      </c>
      <c r="F76" s="13" t="inlineStr">
        <is>
          <t>pesquisa acadêmica</t>
        </is>
      </c>
      <c r="G76" s="12" t="inlineStr">
        <is>
          <t>A</t>
        </is>
      </c>
      <c r="H76" s="13" t="inlineStr">
        <is>
          <t>aberto</t>
        </is>
      </c>
      <c r="I76" s="13" t="inlineStr"/>
      <c r="J76" s="13" t="inlineStr">
        <is>
          <t>2;3</t>
        </is>
      </c>
      <c r="K76" s="13" t="inlineStr">
        <is>
          <t>BIA-ACL-FM-01</t>
        </is>
      </c>
      <c r="L76" s="12" t="inlineStr">
        <is>
          <t>2026-09-30</t>
        </is>
      </c>
      <c r="M76" s="13" t="inlineStr">
        <is>
          <t>Sequência em três passos: busca por anomalias; avaliação da variabilidade espacial para intervenção; atuação autônoma por máquinas e implementos. A colheita automatizada de frutas é um grande desafio da robótica agrícola.</t>
        </is>
      </c>
    </row>
    <row r="77">
      <c r="A77" s="12" t="inlineStr">
        <is>
          <t>F-0076</t>
        </is>
      </c>
      <c r="B77" s="13" t="inlineStr">
        <is>
          <t>Global Farmer Insights 2024</t>
        </is>
      </c>
      <c r="C77" s="13" t="inlineStr">
        <is>
          <t>McKinsey &amp; Company</t>
        </is>
      </c>
      <c r="D77" s="12" t="inlineStr">
        <is>
          <t>2024-10-16</t>
        </is>
      </c>
      <c r="E77" s="13" t="inlineStr">
        <is>
          <t>https://www.mckinsey.com/industries/agriculture/our-insights/global-farmer-insights-2024</t>
        </is>
      </c>
      <c r="F77" s="13" t="inlineStr">
        <is>
          <t>relatório de consultoria</t>
        </is>
      </c>
      <c r="G77" s="12" t="inlineStr">
        <is>
          <t>A</t>
        </is>
      </c>
      <c r="H77" s="13" t="inlineStr">
        <is>
          <t>aberto (lido por cópia arquivada)</t>
        </is>
      </c>
      <c r="I77" s="13" t="inlineStr"/>
      <c r="J77" s="13" t="inlineStr">
        <is>
          <t>3</t>
        </is>
      </c>
      <c r="K77" s="13" t="inlineStr">
        <is>
          <t>BIA-ACL-FM-01</t>
        </is>
      </c>
      <c r="L77" s="12" t="inlineStr">
        <is>
          <t>2026-09-30</t>
        </is>
      </c>
      <c r="M77" s="13" t="inlineStr">
        <is>
          <t>Cerca de 4.400 agricultores em 9 países, incluindo o Brasil, 1º tri/2024. América Latina: controle de seções em pulverizadores 75%, monitoramento de produtividade 49%; maior avanço de adoção entre 2022 e 2024. Amostra de grandes produtores.</t>
        </is>
      </c>
    </row>
    <row r="78">
      <c r="A78" s="12" t="inlineStr">
        <is>
          <t>F-0077</t>
        </is>
      </c>
      <c r="B78" s="13" t="inlineStr">
        <is>
          <t>Global Farmer Insights 2026 (cobertura de imprensa)</t>
        </is>
      </c>
      <c r="C78" s="13" t="inlineStr">
        <is>
          <t>McKinsey &amp; Company, via Bloomberg e The AgriBiz</t>
        </is>
      </c>
      <c r="D78" s="12" t="inlineStr">
        <is>
          <t>2026-09-08</t>
        </is>
      </c>
      <c r="E78" s="13" t="inlineStr">
        <is>
          <t>https://www.theagribiz.com/international/artificial-intelligence-adoption-accelerates-on-farms-mckinsey-says/</t>
        </is>
      </c>
      <c r="F78" s="13" t="inlineStr">
        <is>
          <t>imprensa</t>
        </is>
      </c>
      <c r="G78" s="12" t="inlineStr">
        <is>
          <t>B</t>
        </is>
      </c>
      <c r="H78" s="13" t="inlineStr">
        <is>
          <t>só citação secundária</t>
        </is>
      </c>
      <c r="I78" s="13" t="inlineStr"/>
      <c r="J78" s="13" t="inlineStr">
        <is>
          <t>3</t>
        </is>
      </c>
      <c r="K78" s="13" t="inlineStr">
        <is>
          <t>BIA-ACL-FM-01</t>
        </is>
      </c>
      <c r="L78" s="12" t="inlineStr">
        <is>
          <t>2026-09-30</t>
        </is>
      </c>
      <c r="M78" s="13" t="inlineStr">
        <is>
          <t>5.500 agricultores em 10 países, abr–jun/2026: IA generativa usada por 17% no mundo e 26% na América Latina, sobretudo em ferramentas gratuitas; robótica com penetração mínima. Fonte primária inacessível.</t>
        </is>
      </c>
    </row>
    <row r="79">
      <c r="A79" s="12" t="inlineStr">
        <is>
          <t>F-0078</t>
        </is>
      </c>
      <c r="B79" s="13" t="inlineStr">
        <is>
          <t>Radar Agtech Brasil 2025: Mapeamento de Startups, Ambientes de Inovação e Investidores do Ecossistema Agro Brasileiro</t>
        </is>
      </c>
      <c r="C79" s="13" t="inlineStr">
        <is>
          <t>Embrapa; SP Ventures; Homo Ludens</t>
        </is>
      </c>
      <c r="D79" s="12" t="inlineStr">
        <is>
          <t>2026-03-24</t>
        </is>
      </c>
      <c r="E79" s="13" t="inlineStr">
        <is>
          <t>https://radaragtech.com.br/wp-content/uploads/2026/03/Radar-Agtech-2025-Embrapa-SP-Ventures-Homo-Ludens.pdf</t>
        </is>
      </c>
      <c r="F79" s="13" t="inlineStr">
        <is>
          <t>levantamento setorial</t>
        </is>
      </c>
      <c r="G79" s="12" t="inlineStr">
        <is>
          <t>A</t>
        </is>
      </c>
      <c r="H79" s="13" t="inlineStr">
        <is>
          <t>aberto</t>
        </is>
      </c>
      <c r="I79" s="13" t="inlineStr"/>
      <c r="J79" s="13" t="inlineStr">
        <is>
          <t>3</t>
        </is>
      </c>
      <c r="K79" s="13" t="inlineStr">
        <is>
          <t>BIA-ACL-FM-01</t>
        </is>
      </c>
      <c r="L79" s="12" t="inlineStr">
        <is>
          <t>2026-09-30</t>
        </is>
      </c>
      <c r="M79" s="13" t="inlineStr">
        <is>
          <t>2.075 agtechs mapeadas em 2025. Das 170 que responderam ao questionário (autosseleção), 83% usam IA e cerca de 36% têm a IA no centro do produto — não é taxa sobre as 2.075. Seção da Embrapa: mapeamento de palmeiras de licuri por drone em implantação.</t>
        </is>
      </c>
    </row>
    <row r="80">
      <c r="A80" s="12" t="inlineStr">
        <is>
          <t>F-0079</t>
        </is>
      </c>
      <c r="B80" s="13" t="inlineStr">
        <is>
          <t>Área agrícola com 4G ou 5G chega a 33% no Brasil, segundo ConectarAgro</t>
        </is>
      </c>
      <c r="C80" s="13" t="inlineStr">
        <is>
          <t>Teletime (indicador ConectarAgro e UFV)</t>
        </is>
      </c>
      <c r="D80" s="12" t="inlineStr">
        <is>
          <t>2025-04-30</t>
        </is>
      </c>
      <c r="E80" s="13" t="inlineStr">
        <is>
          <t>https://teletime.com.br/30/04/2025/area-agricola-com-4g-ou-5g-chega-a-33-no-brasil-segundo-conectaragro/</t>
        </is>
      </c>
      <c r="F80" s="13" t="inlineStr">
        <is>
          <t>imprensa</t>
        </is>
      </c>
      <c r="G80" s="12" t="inlineStr">
        <is>
          <t>B</t>
        </is>
      </c>
      <c r="H80" s="13" t="inlineStr">
        <is>
          <t>aberto</t>
        </is>
      </c>
      <c r="I80" s="13" t="inlineStr"/>
      <c r="J80" s="13" t="inlineStr">
        <is>
          <t>2;3</t>
        </is>
      </c>
      <c r="K80" s="13" t="inlineStr">
        <is>
          <t>BIA-ACL-FM-01</t>
        </is>
      </c>
      <c r="L80" s="12" t="inlineStr">
        <is>
          <t>2026-09-30</t>
        </is>
      </c>
      <c r="M80" s="13" t="inlineStr">
        <is>
          <t>Área agrícola com sinal 4G ou 5G passou de 18,7% para 33,9% entre 2024 e 2025; imóveis rurais com cobertura total da área agricultável de 37,4% para 48,1%. Mede cobertura, não qualidade; site da ConectarAgro não abriu.</t>
        </is>
      </c>
    </row>
    <row r="81">
      <c r="A81" s="12" t="inlineStr">
        <is>
          <t>F-0080</t>
        </is>
      </c>
      <c r="B81" s="13" t="inlineStr">
        <is>
          <t>2024年全国农业机械化发展统计公报 (Boletim estatístico de mecanização agrícola 2024)</t>
        </is>
      </c>
      <c r="C81" s="13" t="inlineStr">
        <is>
          <t>Ministério da Agricultura e Assuntos Rurais da China (MARA)</t>
        </is>
      </c>
      <c r="D81" s="12" t="inlineStr">
        <is>
          <t>2025-11-20</t>
        </is>
      </c>
      <c r="E81" s="13" t="inlineStr">
        <is>
          <t>https://njhs.moa.gov.cn/nyjxhqk/202511/t20251120_6479055.htm</t>
        </is>
      </c>
      <c r="F81" s="13" t="inlineStr">
        <is>
          <t>dado oficial</t>
        </is>
      </c>
      <c r="G81" s="12" t="inlineStr">
        <is>
          <t>A</t>
        </is>
      </c>
      <c r="H81" s="13" t="inlineStr">
        <is>
          <t>aberto</t>
        </is>
      </c>
      <c r="I81" s="13" t="inlineStr"/>
      <c r="J81" s="13" t="inlineStr">
        <is>
          <t>3</t>
        </is>
      </c>
      <c r="K81" s="13" t="inlineStr">
        <is>
          <t>BIA-ACL-FM-01</t>
        </is>
      </c>
      <c r="L81" s="12" t="inlineStr">
        <is>
          <t>2026-09-30</t>
        </is>
      </c>
      <c r="M81" s="13" t="inlineStr">
        <is>
          <t>Mecanização de preparo, plantio e colheita de 75,64% em 2024 (colheita 69,58%); 201 mil drones de proteção de plantas. O centro de extensão ligado ao MARA (NATESC) cita 251 mil para 2024; divergência não explicada.</t>
        </is>
      </c>
    </row>
    <row r="82">
      <c r="A82" s="12" t="inlineStr">
        <is>
          <t>F-0081</t>
        </is>
      </c>
      <c r="B82" s="13" t="inlineStr">
        <is>
          <t>“新农具”有新机遇！无人机、机器人首次写入中央一号文件</t>
        </is>
      </c>
      <c r="C82" s="13" t="inlineStr">
        <is>
          <t>Xinhua</t>
        </is>
      </c>
      <c r="D82" s="12" t="inlineStr">
        <is>
          <t>2026-02-03</t>
        </is>
      </c>
      <c r="E82" s="13" t="inlineStr">
        <is>
          <t>https://www.news.cn/politics/20260203/9d3498967e33402fb0ce61ca6f12adca/c.html</t>
        </is>
      </c>
      <c r="F82" s="13" t="inlineStr">
        <is>
          <t>imprensa</t>
        </is>
      </c>
      <c r="G82" s="12" t="inlineStr">
        <is>
          <t>B</t>
        </is>
      </c>
      <c r="H82" s="13" t="inlineStr">
        <is>
          <t>aberto</t>
        </is>
      </c>
      <c r="I82" s="13" t="inlineStr"/>
      <c r="J82" s="13" t="inlineStr">
        <is>
          <t>3</t>
        </is>
      </c>
      <c r="K82" s="13" t="inlineStr">
        <is>
          <t>BIA-ACL-FM-01</t>
        </is>
      </c>
      <c r="L82" s="12" t="inlineStr">
        <is>
          <t>2026-09-30</t>
        </is>
      </c>
      <c r="M82" s="13" t="inlineStr">
        <is>
          <t>Drones e robôs entram pela primeira vez no Documento Central nº 1 (2026). Mecanização de 76,7% e mais de 300 mil drones agrícolas em 2025 (números sem fonte atribuída na matéria).</t>
        </is>
      </c>
    </row>
    <row r="83">
      <c r="A83" s="12" t="inlineStr">
        <is>
          <t>F-0082</t>
        </is>
      </c>
      <c r="B83" s="13" t="inlineStr">
        <is>
          <t>全国智慧农业行动计划（2024—2028年）(Plano Nacional de Agricultura Inteligente 2024–2028)</t>
        </is>
      </c>
      <c r="C83" s="13" t="inlineStr">
        <is>
          <t>Ministério da Agricultura e Assuntos Rurais da China (MARA)</t>
        </is>
      </c>
      <c r="D83" s="12" t="inlineStr">
        <is>
          <t>2024-10-25</t>
        </is>
      </c>
      <c r="E83" s="13" t="inlineStr">
        <is>
          <t>https://www.moa.gov.cn/govpublic/SCYJJXXS/202410/t20241025_6465041.htm</t>
        </is>
      </c>
      <c r="F83" s="13" t="inlineStr">
        <is>
          <t>política pública</t>
        </is>
      </c>
      <c r="G83" s="12" t="inlineStr">
        <is>
          <t>A</t>
        </is>
      </c>
      <c r="H83" s="13" t="inlineStr">
        <is>
          <t>aberto</t>
        </is>
      </c>
      <c r="I83" s="13" t="inlineStr"/>
      <c r="J83" s="13" t="inlineStr">
        <is>
          <t>3</t>
        </is>
      </c>
      <c r="K83" s="13" t="inlineStr">
        <is>
          <t>BIA-ACL-FM-01</t>
        </is>
      </c>
      <c r="L83" s="12" t="inlineStr">
        <is>
          <t>2026-09-30</t>
        </is>
      </c>
      <c r="M83" s="13" t="inlineStr">
        <is>
          <t>Metas de informatização da produção agrícola: mais de 30% até 2026 e mais de 32% até 2028; diretriz de longo prazo de cerca de 35% em 2030 e mais de 40% em 2035.</t>
        </is>
      </c>
    </row>
    <row r="84">
      <c r="A84" s="12" t="inlineStr">
        <is>
          <t>F-0083</t>
        </is>
      </c>
      <c r="B84" s="13" t="inlineStr">
        <is>
          <t>Palm oil industry loses RM7.9b annually due to worker shortage</t>
        </is>
      </c>
      <c r="C84" s="13" t="inlineStr">
        <is>
          <t>New Straits Times, republicado pelo MPOB (Malaysian Palm Oil Board)</t>
        </is>
      </c>
      <c r="D84" s="12" t="inlineStr">
        <is>
          <t>2024-02-28</t>
        </is>
      </c>
      <c r="E84" s="13" t="inlineStr">
        <is>
          <t>https://prestasisawit.mpob.gov.my/en/palmnews/news/36344</t>
        </is>
      </c>
      <c r="F84" s="13" t="inlineStr">
        <is>
          <t>imprensa</t>
        </is>
      </c>
      <c r="G84" s="12" t="inlineStr">
        <is>
          <t>A</t>
        </is>
      </c>
      <c r="H84" s="13" t="inlineStr">
        <is>
          <t>aberto</t>
        </is>
      </c>
      <c r="I84" s="13" t="inlineStr"/>
      <c r="J84" s="13" t="inlineStr">
        <is>
          <t>3</t>
        </is>
      </c>
      <c r="K84" s="13" t="inlineStr">
        <is>
          <t>BIA-ACL-FM-01</t>
        </is>
      </c>
      <c r="L84" s="12" t="inlineStr">
        <is>
          <t>2026-09-30</t>
        </is>
      </c>
      <c r="M84" s="13" t="inlineStr">
        <is>
          <t>Declaração do ministro de Plantações e Commodities da Malásia: déficit de 40 mil trabalhadores e perda de RM 7,9 bilhões por ano; drones já servem para fertilização, pesticidas e precisão, mas ainda não há máquina para colher os frutos.</t>
        </is>
      </c>
    </row>
    <row r="85">
      <c r="A85" s="12" t="inlineStr">
        <is>
          <t>F-0084</t>
        </is>
      </c>
      <c r="B85" s="13" t="inlineStr">
        <is>
          <t>The Potential of Robotics for Efficient and Sustainable Harvesting (Palm Oil Engineering Bulletin 142)</t>
        </is>
      </c>
      <c r="C85" s="13" t="inlineStr">
        <is>
          <t>MPOB; Universiti Teknologi Malaysia</t>
        </is>
      </c>
      <c r="D85" s="12" t="inlineStr">
        <is>
          <t>2023</t>
        </is>
      </c>
      <c r="E85" s="13" t="inlineStr">
        <is>
          <t>https://palmoilis.mpob.gov.my/publications/POEB/poeb142-athif.pdf</t>
        </is>
      </c>
      <c r="F85" s="13" t="inlineStr">
        <is>
          <t>pesquisa acadêmica</t>
        </is>
      </c>
      <c r="G85" s="12" t="inlineStr">
        <is>
          <t>A</t>
        </is>
      </c>
      <c r="H85" s="13" t="inlineStr">
        <is>
          <t>aberto</t>
        </is>
      </c>
      <c r="I85" s="13" t="inlineStr"/>
      <c r="J85" s="13" t="inlineStr">
        <is>
          <t>3</t>
        </is>
      </c>
      <c r="K85" s="13" t="inlineStr">
        <is>
          <t>BIA-ACL-FM-01</t>
        </is>
      </c>
      <c r="L85" s="12" t="inlineStr">
        <is>
          <t>2026-09-30</t>
        </is>
      </c>
      <c r="M85" s="13" t="inlineStr">
        <is>
          <t>Colheita responde por cerca de 60% da força de trabalho e 50% do custo de produção da palma. Pesquisa e desenvolvimento em robótica de colheita ainda em estágio experimental (exoesqueletos, drones de observação, braço robótico protótipo, veículo não tripulado de recolha); retorno mais longo que o do trabalho estrangeiro; copa e relevo limitam o sinal de GPS.</t>
        </is>
      </c>
    </row>
    <row r="86">
      <c r="A86" s="12" t="inlineStr">
        <is>
          <t>F-0085</t>
        </is>
      </c>
      <c r="B86" s="13" t="inlineStr">
        <is>
          <t>Development of a machine for harvesting tall palms (MPOB TT 217)</t>
        </is>
      </c>
      <c r="C86" s="13" t="inlineStr">
        <is>
          <t>MPOB (A. R. Shuib et al.)</t>
        </is>
      </c>
      <c r="D86" s="12" t="inlineStr">
        <is>
          <t>2004-06</t>
        </is>
      </c>
      <c r="E86" s="13" t="inlineStr">
        <is>
          <t>https://palmoilis.mpob.gov.my/publications/TOT/TT-217.pdf</t>
        </is>
      </c>
      <c r="F86" s="13" t="inlineStr">
        <is>
          <t>pesquisa acadêmica</t>
        </is>
      </c>
      <c r="G86" s="12" t="inlineStr">
        <is>
          <t>A</t>
        </is>
      </c>
      <c r="H86" s="13" t="inlineStr">
        <is>
          <t>aberto</t>
        </is>
      </c>
      <c r="I86" s="13" t="inlineStr"/>
      <c r="J86" s="13" t="inlineStr">
        <is>
          <t>3</t>
        </is>
      </c>
      <c r="K86" s="13" t="inlineStr">
        <is>
          <t>BIA-ACL-FM-01</t>
        </is>
      </c>
      <c r="L86" s="12" t="inlineStr">
        <is>
          <t>2026-09-30</t>
        </is>
      </c>
      <c r="M86" s="13" t="inlineStr">
        <is>
          <t>Em 2004, a colheita mecânica dos cachos da palma já era 'an issue that needs to be solved', com escassez de mão de obra relatada.</t>
        </is>
      </c>
    </row>
    <row r="87">
      <c r="A87" s="12" t="inlineStr">
        <is>
          <t>F-0086</t>
        </is>
      </c>
      <c r="B87" s="13" t="inlineStr">
        <is>
          <t>Deep Learning Based Oil Palm Tree Detection and Counting for High-Resolution Remote Sensing Images</t>
        </is>
      </c>
      <c r="C87" s="13" t="inlineStr">
        <is>
          <t>W. Li, H. Fu, L. Yu, A. Cracknell — Remote Sensing 9(1):22</t>
        </is>
      </c>
      <c r="D87" s="12" t="inlineStr">
        <is>
          <t>2016-12-29</t>
        </is>
      </c>
      <c r="E87" s="13" t="inlineStr">
        <is>
          <t>https://www.mdpi.com/2072-4292/9/1/22</t>
        </is>
      </c>
      <c r="F87" s="13" t="inlineStr">
        <is>
          <t>pesquisa acadêmica</t>
        </is>
      </c>
      <c r="G87" s="12" t="inlineStr">
        <is>
          <t>A</t>
        </is>
      </c>
      <c r="H87" s="13" t="inlineStr">
        <is>
          <t>aberto</t>
        </is>
      </c>
      <c r="I87" s="13" t="inlineStr"/>
      <c r="J87" s="13" t="inlineStr">
        <is>
          <t>3</t>
        </is>
      </c>
      <c r="K87" s="13" t="inlineStr">
        <is>
          <t>BIA-ACL-FM-01</t>
        </is>
      </c>
      <c r="L87" s="12" t="inlineStr">
        <is>
          <t>2026-09-30</t>
        </is>
      </c>
      <c r="M87" s="13" t="inlineStr">
        <is>
          <t>Mais de 96% das palmeiras detectadas corretamente em área da Malásia com copas sobrepostas; o número de plantas é informação importante para prever a produção.</t>
        </is>
      </c>
    </row>
    <row r="88">
      <c r="A88" s="12" t="inlineStr">
        <is>
          <t>F-0087</t>
        </is>
      </c>
      <c r="B88" s="13" t="inlineStr">
        <is>
          <t>Oil Palm Tree Detection and Health Classification on High-Resolution Imagery Using Deep Learning</t>
        </is>
      </c>
      <c r="C88" s="13" t="inlineStr">
        <is>
          <t>K. Yarak et al. — Agriculture 11(2):183</t>
        </is>
      </c>
      <c r="D88" s="12" t="inlineStr">
        <is>
          <t>2021-02-22</t>
        </is>
      </c>
      <c r="E88" s="13" t="inlineStr">
        <is>
          <t>https://www.mdpi.com/2077-0472/11/2/183</t>
        </is>
      </c>
      <c r="F88" s="13" t="inlineStr">
        <is>
          <t>pesquisa acadêmica</t>
        </is>
      </c>
      <c r="G88" s="12" t="inlineStr">
        <is>
          <t>A</t>
        </is>
      </c>
      <c r="H88" s="13" t="inlineStr">
        <is>
          <t>aberto</t>
        </is>
      </c>
      <c r="I88" s="13" t="inlineStr"/>
      <c r="J88" s="13" t="inlineStr">
        <is>
          <t>3</t>
        </is>
      </c>
      <c r="K88" s="13" t="inlineStr">
        <is>
          <t>BIA-ACL-FM-01</t>
        </is>
      </c>
      <c r="L88" s="12" t="inlineStr">
        <is>
          <t>2026-09-30</t>
        </is>
      </c>
      <c r="M88" s="13" t="inlineStr">
        <is>
          <t>Por drone: F1 de 97,67% na detecção e 95,30% em palmeiras sadias, mas 57,14% em palmeiras não sadias quando confrontado com a inspeção de campo. Contar é maduro; diagnosticar saúde, ainda não.</t>
        </is>
      </c>
    </row>
    <row r="89">
      <c r="A89" s="12" t="inlineStr">
        <is>
          <t>F-0088</t>
        </is>
      </c>
      <c r="B89" s="13" t="inlineStr">
        <is>
          <t>Macauba: a promising tropical palm for the production of vegetable oil</t>
        </is>
      </c>
      <c r="C89" s="13" t="inlineStr">
        <is>
          <t>C. A. Colombo, L. H. C. Berton, B. G. Diaz, R. A. Ferrari — OCL 25(1) D108</t>
        </is>
      </c>
      <c r="D89" s="12" t="inlineStr">
        <is>
          <t>2018-01</t>
        </is>
      </c>
      <c r="E89" s="13" t="inlineStr">
        <is>
          <t>https://www.ocl-journal.org/articles/ocl/full_html/2018/01/ocl170038s/ocl170038s.html</t>
        </is>
      </c>
      <c r="F89" s="13" t="inlineStr">
        <is>
          <t>pesquisa acadêmica</t>
        </is>
      </c>
      <c r="G89" s="12" t="inlineStr">
        <is>
          <t>A</t>
        </is>
      </c>
      <c r="H89" s="13" t="inlineStr">
        <is>
          <t>aberto</t>
        </is>
      </c>
      <c r="I89" s="13" t="inlineStr"/>
      <c r="J89" s="13" t="inlineStr">
        <is>
          <t>3</t>
        </is>
      </c>
      <c r="K89" s="13" t="inlineStr">
        <is>
          <t>BIA-ACL-FM-01</t>
        </is>
      </c>
      <c r="L89" s="12" t="inlineStr">
        <is>
          <t>2026-09-30</t>
        </is>
      </c>
      <c r="M89" s="13" t="inlineStr">
        <is>
          <t>Entre as linhas prioritárias de pesquisa para consolidar a cadeia: zoneamento climático e mecanização da produção e do processamento dos frutos. Frutos colhidos do cacho ou caídos sem contato com o solo se conservam por até 16 dias.</t>
        </is>
      </c>
    </row>
    <row r="90">
      <c r="A90" s="12" t="inlineStr">
        <is>
          <t>F-0089</t>
        </is>
      </c>
      <c r="B90" s="13" t="inlineStr">
        <is>
          <t>Integrated Annual Report 2024</t>
        </is>
      </c>
      <c r="C90" s="13" t="inlineStr">
        <is>
          <t>Itaú Unibanco</t>
        </is>
      </c>
      <c r="D90" s="12" t="inlineStr">
        <is>
          <t>2025</t>
        </is>
      </c>
      <c r="E90" s="13" t="inlineStr">
        <is>
          <t>https://www.itau.com.br/download-file/v2/d/42787847-4cf6-4461-94a5-40ed237dca33/c54c2832-35d3-876f-acfc-930865b159d0?origin=2</t>
        </is>
      </c>
      <c r="F90" s="13" t="inlineStr">
        <is>
          <t>relatório corporativo</t>
        </is>
      </c>
      <c r="G90" s="12" t="inlineStr">
        <is>
          <t>A</t>
        </is>
      </c>
      <c r="H90" s="13" t="inlineStr">
        <is>
          <t>aberto</t>
        </is>
      </c>
      <c r="I90" s="13" t="inlineStr">
        <is>
          <t>Itaú Unibanco</t>
        </is>
      </c>
      <c r="J90" s="13" t="inlineStr">
        <is>
          <t>1;2</t>
        </is>
      </c>
      <c r="K90" s="13" t="inlineStr">
        <is>
          <t>BIA-ACL-FM-01</t>
        </is>
      </c>
      <c r="L90" s="12" t="inlineStr">
        <is>
          <t>2026-09-30</t>
        </is>
      </c>
      <c r="M90" s="13" t="inlineStr">
        <is>
          <t>Linha do tempo de IA (p. 52): data lake com Hadoop 2014/15; carreira de ciência de dados 2016; data mesh e carreira de ML Engineering 2022. Em 2024: 1.390 modelos de IA, 393 iniciativas de IA generativa, mais de 470 cientistas de dados; plataforma de dados descentralizada e self-service.</t>
        </is>
      </c>
    </row>
    <row r="91">
      <c r="A91" s="12" t="inlineStr">
        <is>
          <t>F-0090</t>
        </is>
      </c>
      <c r="B91" s="13" t="inlineStr">
        <is>
          <t>Relatório Anual Integrado 2023</t>
        </is>
      </c>
      <c r="C91" s="13" t="inlineStr">
        <is>
          <t>Itaú Unibanco</t>
        </is>
      </c>
      <c r="D91" s="12" t="inlineStr">
        <is>
          <t>2024</t>
        </is>
      </c>
      <c r="E91" s="13" t="inlineStr">
        <is>
          <t>https://www.itau.com.br/download-file/v2/d/42787847-4cf6-4461-94a5-40ed237dca33/15ce52e3-fdd5-1bd2-4929-0674f0f3ce57?origin=2</t>
        </is>
      </c>
      <c r="F91" s="13" t="inlineStr">
        <is>
          <t>relatório corporativo</t>
        </is>
      </c>
      <c r="G91" s="12" t="inlineStr">
        <is>
          <t>A</t>
        </is>
      </c>
      <c r="H91" s="13" t="inlineStr">
        <is>
          <t>aberto</t>
        </is>
      </c>
      <c r="I91" s="13" t="inlineStr">
        <is>
          <t>Itaú Unibanco</t>
        </is>
      </c>
      <c r="J91" s="13" t="inlineStr">
        <is>
          <t>1;2</t>
        </is>
      </c>
      <c r="K91" s="13" t="inlineStr">
        <is>
          <t>BIA-ACL-FM-01</t>
        </is>
      </c>
      <c r="L91" s="12" t="inlineStr">
        <is>
          <t>2026-09-30</t>
        </is>
      </c>
      <c r="M91" s="13" t="inlineStr">
        <is>
          <t>Mais de dois terços dos sistemas legados em nuvem; data lake 100% na nuvem. Cerca de 600 modelos de IA. IA generativa: mais de 220 iniciativas, mais de 10 em produção.</t>
        </is>
      </c>
    </row>
    <row r="92">
      <c r="A92" s="12" t="inlineStr">
        <is>
          <t>F-0091</t>
        </is>
      </c>
      <c r="B92" s="13" t="inlineStr">
        <is>
          <t>Itaú Unibanco vai migrar o coração do banco para a nuvem</t>
        </is>
      </c>
      <c r="C92" s="13" t="inlineStr">
        <is>
          <t>About Amazon (AWS)</t>
        </is>
      </c>
      <c r="D92" s="12" t="inlineStr">
        <is>
          <t>2024-12-09</t>
        </is>
      </c>
      <c r="E92" s="13" t="inlineStr">
        <is>
          <t>https://www.aboutamazon.com.br/noticias/aws/itau-unibanco-vai-migrar-o-coracao-do-banco-para-a-nuvem</t>
        </is>
      </c>
      <c r="F92" s="13" t="inlineStr">
        <is>
          <t>case de fornecedor</t>
        </is>
      </c>
      <c r="G92" s="12" t="inlineStr">
        <is>
          <t>B</t>
        </is>
      </c>
      <c r="H92" s="13" t="inlineStr">
        <is>
          <t>aberto</t>
        </is>
      </c>
      <c r="I92" s="13" t="inlineStr">
        <is>
          <t>Itaú Unibanco</t>
        </is>
      </c>
      <c r="J92" s="13" t="inlineStr">
        <is>
          <t>1;2</t>
        </is>
      </c>
      <c r="K92" s="13" t="inlineStr">
        <is>
          <t>BIA-ACL-FM-01</t>
        </is>
      </c>
      <c r="L92" s="12" t="inlineStr">
        <is>
          <t>2026-09-30</t>
        </is>
      </c>
      <c r="M92" s="13" t="inlineStr">
        <is>
          <t>Jornada de nuvem iniciada em 2017; 65% dos aplicativos em nuvem em dez/2024; meta de 100% em 2028, incluindo mainframe.</t>
        </is>
      </c>
    </row>
    <row r="93">
      <c r="A93" s="12" t="inlineStr">
        <is>
          <t>F-0092</t>
        </is>
      </c>
      <c r="B93" s="13" t="inlineStr">
        <is>
          <t>Itaú coloca 150 soluções de GenAI em produção e amplia uso de IA em 141%</t>
        </is>
      </c>
      <c r="C93" s="13" t="inlineStr">
        <is>
          <t>TI Inside</t>
        </is>
      </c>
      <c r="D93" s="12" t="inlineStr">
        <is>
          <t>2026-01-12</t>
        </is>
      </c>
      <c r="E93" s="13" t="inlineStr">
        <is>
          <t>https://tiinside.com.br/12/01/2026/itau-coloca-150-solucoes-de-genai-em-producao-e-amplia-uso-de-ia-em-141/</t>
        </is>
      </c>
      <c r="F93" s="13" t="inlineStr">
        <is>
          <t>imprensa</t>
        </is>
      </c>
      <c r="G93" s="12" t="inlineStr">
        <is>
          <t>B</t>
        </is>
      </c>
      <c r="H93" s="13" t="inlineStr">
        <is>
          <t>aberto</t>
        </is>
      </c>
      <c r="I93" s="13" t="inlineStr">
        <is>
          <t>Itaú Unibanco</t>
        </is>
      </c>
      <c r="J93" s="13" t="inlineStr">
        <is>
          <t>1;2</t>
        </is>
      </c>
      <c r="K93" s="13" t="inlineStr">
        <is>
          <t>BIA-ACL-FM-01</t>
        </is>
      </c>
      <c r="L93" s="12" t="inlineStr">
        <is>
          <t>2026-09-30</t>
        </is>
      </c>
      <c r="M93" s="13" t="inlineStr">
        <is>
          <t>Fala do diretor de Tecnologia: 150 soluções de IA generativa em produção e mais de 750 em desenvolvimento; mais de 1,8 mil modelos de IA; cerca de 500 cientistas de dados.</t>
        </is>
      </c>
    </row>
    <row r="94">
      <c r="A94" s="12" t="inlineStr">
        <is>
          <t>F-0093</t>
        </is>
      </c>
      <c r="B94" s="13" t="inlineStr">
        <is>
          <t>Vale will have the first mine operating only with autonomous trucks in Brazil</t>
        </is>
      </c>
      <c r="C94" s="13" t="inlineStr">
        <is>
          <t>Vale (Newsroom)</t>
        </is>
      </c>
      <c r="D94" s="12" t="inlineStr">
        <is>
          <t>2018-11-09</t>
        </is>
      </c>
      <c r="E94" s="13" t="inlineStr">
        <is>
          <t>https://vale.com/documents/44618/2699492/Newsroom_-_Innovation_-_Vale_will_have_the_first_mine_operating_only_with_autonomous_trucks_in_Brazil_ID=1086.pdf/2fc567ec-9770-07cc-5ec9-c670830cfe74?version=1.0&amp;t=1672692649808&amp;download=true</t>
        </is>
      </c>
      <c r="F94" s="13" t="inlineStr">
        <is>
          <t>comunicado oficial</t>
        </is>
      </c>
      <c r="G94" s="12" t="inlineStr">
        <is>
          <t>A</t>
        </is>
      </c>
      <c r="H94" s="13" t="inlineStr">
        <is>
          <t>aberto</t>
        </is>
      </c>
      <c r="I94" s="13" t="inlineStr">
        <is>
          <t>Vale</t>
        </is>
      </c>
      <c r="J94" s="13" t="inlineStr">
        <is>
          <t>1;2;3</t>
        </is>
      </c>
      <c r="K94" s="13" t="inlineStr">
        <is>
          <t>BIA-ACL-FM-01</t>
        </is>
      </c>
      <c r="L94" s="12" t="inlineStr">
        <is>
          <t>2026-09-30</t>
        </is>
      </c>
      <c r="M94" s="13" t="inlineStr">
        <is>
          <t>Programa de transformação digital desde 2016 com quatro pilares, entre eles robotização e equipamentos autônomos. Caminhões autônomos em teste em Brucutu (MG) desde 2016; 7 em operação diária em 2018.</t>
        </is>
      </c>
    </row>
    <row r="95">
      <c r="A95" s="12" t="inlineStr">
        <is>
          <t>F-0094</t>
        </is>
      </c>
      <c r="B95" s="13" t="inlineStr">
        <is>
          <t>Vale creates Artificial Intelligence Center</t>
        </is>
      </c>
      <c r="C95" s="13" t="inlineStr">
        <is>
          <t>Vale</t>
        </is>
      </c>
      <c r="D95" s="12" t="inlineStr">
        <is>
          <t>2019-01-10</t>
        </is>
      </c>
      <c r="E95" s="13" t="inlineStr">
        <is>
          <t>https://vale.com/w/vale-creates-artificial-intelligence-center</t>
        </is>
      </c>
      <c r="F95" s="13" t="inlineStr">
        <is>
          <t>comunicado oficial</t>
        </is>
      </c>
      <c r="G95" s="12" t="inlineStr">
        <is>
          <t>A</t>
        </is>
      </c>
      <c r="H95" s="13" t="inlineStr">
        <is>
          <t>aberto</t>
        </is>
      </c>
      <c r="I95" s="13" t="inlineStr">
        <is>
          <t>Vale</t>
        </is>
      </c>
      <c r="J95" s="13" t="inlineStr">
        <is>
          <t>1;2</t>
        </is>
      </c>
      <c r="K95" s="13" t="inlineStr">
        <is>
          <t>BIA-ACL-FM-01</t>
        </is>
      </c>
      <c r="L95" s="12" t="inlineStr">
        <is>
          <t>2026-09-30</t>
        </is>
      </c>
      <c r="M95" s="13" t="inlineStr">
        <is>
          <t>Centro de IA em Vitória (ES); projetos já entregues geravam mais de US$ 20 milhões de economia por ano na criação do centro.</t>
        </is>
      </c>
    </row>
    <row r="96">
      <c r="A96" s="12" t="inlineStr">
        <is>
          <t>F-0095</t>
        </is>
      </c>
      <c r="B96" s="13" t="inlineStr">
        <is>
          <t>Focused on safety and people, Vale starts operating autonomous trucks in its largest iron ore complex in Brazil</t>
        </is>
      </c>
      <c r="C96" s="13" t="inlineStr">
        <is>
          <t>Vale</t>
        </is>
      </c>
      <c r="D96" s="12" t="inlineStr">
        <is>
          <t>2021-09-02</t>
        </is>
      </c>
      <c r="E96" s="13" t="inlineStr">
        <is>
          <t>https://vale.com/w/focused-on-safety-and-people-vale-starts-operating-autonomous-trucks-in-its-largest-iron-ore-complex-in-brazil</t>
        </is>
      </c>
      <c r="F96" s="13" t="inlineStr">
        <is>
          <t>comunicado oficial</t>
        </is>
      </c>
      <c r="G96" s="12" t="inlineStr">
        <is>
          <t>A</t>
        </is>
      </c>
      <c r="H96" s="13" t="inlineStr">
        <is>
          <t>aberto</t>
        </is>
      </c>
      <c r="I96" s="13" t="inlineStr">
        <is>
          <t>Vale</t>
        </is>
      </c>
      <c r="J96" s="13" t="inlineStr">
        <is>
          <t>1;2;3</t>
        </is>
      </c>
      <c r="K96" s="13" t="inlineStr">
        <is>
          <t>BIA-ACL-FM-01</t>
        </is>
      </c>
      <c r="L96" s="12" t="inlineStr">
        <is>
          <t>2026-09-30</t>
        </is>
      </c>
      <c r="M96" s="13" t="inlineStr">
        <is>
          <t>Autonomia replicada em Carajás em 2021, depois de Brucutu. Em Brucutu, combustível 11% menor e nenhum acidente causado pelos caminhões autônomos desde 2016.</t>
        </is>
      </c>
    </row>
    <row r="97">
      <c r="A97" s="12" t="inlineStr">
        <is>
          <t>F-0096</t>
        </is>
      </c>
      <c r="B97" s="13" t="inlineStr">
        <is>
          <t>Relatório de PD&amp;I 2025</t>
        </is>
      </c>
      <c r="C97" s="13" t="inlineStr">
        <is>
          <t>Vale</t>
        </is>
      </c>
      <c r="D97" s="12" t="inlineStr">
        <is>
          <t>2026</t>
        </is>
      </c>
      <c r="E97" s="13" t="inlineStr">
        <is>
          <t>https://vale.com/documents/d/guest/relatorio_pdi_2025</t>
        </is>
      </c>
      <c r="F97" s="13" t="inlineStr">
        <is>
          <t>relatório corporativo</t>
        </is>
      </c>
      <c r="G97" s="12" t="inlineStr">
        <is>
          <t>A</t>
        </is>
      </c>
      <c r="H97" s="13" t="inlineStr">
        <is>
          <t>aberto</t>
        </is>
      </c>
      <c r="I97" s="13" t="inlineStr">
        <is>
          <t>Vale</t>
        </is>
      </c>
      <c r="J97" s="13" t="inlineStr">
        <is>
          <t>1;2;3</t>
        </is>
      </c>
      <c r="K97" s="13" t="inlineStr">
        <is>
          <t>BIA-ACL-FM-01</t>
        </is>
      </c>
      <c r="L97" s="12" t="inlineStr">
        <is>
          <t>2026-09-30</t>
        </is>
      </c>
      <c r="M97" s="13" t="inlineStr">
        <is>
          <t>Transição de iniciativas pontuais para abordagem estruturada e escalável em 2025; quatro centros de IA. IA generativa: teste em 2023, produto em 2025. Mais de 70 equipamentos autônomos; Capanema, primeira mina a nascer 100% autônoma. Mais de 600 pessoas letradas em IA.</t>
        </is>
      </c>
    </row>
    <row r="98">
      <c r="A98" s="12" t="inlineStr">
        <is>
          <t>F-0097</t>
        </is>
      </c>
      <c r="B98" s="13" t="inlineStr">
        <is>
          <t>Vale abre plataforma de dados e IA a 19 áreas de negócio</t>
        </is>
      </c>
      <c r="C98" s="13" t="inlineStr">
        <is>
          <t>Mobile Time</t>
        </is>
      </c>
      <c r="D98" s="12" t="inlineStr">
        <is>
          <t>2026-09-16</t>
        </is>
      </c>
      <c r="E98" s="13" t="inlineStr">
        <is>
          <t>https://www.mobiletime.com.br/noticias/16/09/2026/vale-ia-bens-impostos/</t>
        </is>
      </c>
      <c r="F98" s="13" t="inlineStr">
        <is>
          <t>imprensa</t>
        </is>
      </c>
      <c r="G98" s="12" t="inlineStr">
        <is>
          <t>B</t>
        </is>
      </c>
      <c r="H98" s="13" t="inlineStr">
        <is>
          <t>aberto</t>
        </is>
      </c>
      <c r="I98" s="13" t="inlineStr">
        <is>
          <t>Vale</t>
        </is>
      </c>
      <c r="J98" s="13" t="inlineStr">
        <is>
          <t>1;2</t>
        </is>
      </c>
      <c r="K98" s="13" t="inlineStr">
        <is>
          <t>BIA-ACL-FM-01</t>
        </is>
      </c>
      <c r="L98" s="12" t="inlineStr">
        <is>
          <t>2026-09-30</t>
        </is>
      </c>
      <c r="M98" s="13" t="inlineStr">
        <is>
          <t>Plataforma de dados e IA aberta a 19 'franquias' de negócio; antes, pedidos de dados dependiam da TI e levavam até três semanas.</t>
        </is>
      </c>
    </row>
    <row r="99">
      <c r="A99" s="12" t="inlineStr">
        <is>
          <t>F-0098</t>
        </is>
      </c>
      <c r="B99" s="13" t="inlineStr">
        <is>
          <t>Vale nos trilhos da inteligência artificial</t>
        </is>
      </c>
      <c r="C99" s="13" t="inlineStr">
        <is>
          <t>HSM Management (texto do head de IA da Vale)</t>
        </is>
      </c>
      <c r="D99" s="12" t="inlineStr">
        <is>
          <t>2023-08-24</t>
        </is>
      </c>
      <c r="E99" s="13" t="inlineStr">
        <is>
          <t>https://hsmmanagement.com.br/vale-nos-trilhos-da-inteligencia-artificial/</t>
        </is>
      </c>
      <c r="F99" s="13" t="inlineStr">
        <is>
          <t>imprensa</t>
        </is>
      </c>
      <c r="G99" s="12" t="inlineStr">
        <is>
          <t>A</t>
        </is>
      </c>
      <c r="H99" s="13" t="inlineStr">
        <is>
          <t>aberto</t>
        </is>
      </c>
      <c r="I99" s="13" t="inlineStr">
        <is>
          <t>Vale</t>
        </is>
      </c>
      <c r="J99" s="13" t="inlineStr">
        <is>
          <t>1;2</t>
        </is>
      </c>
      <c r="K99" s="13" t="inlineStr">
        <is>
          <t>BIA-ACL-FM-01</t>
        </is>
      </c>
      <c r="L99" s="12" t="inlineStr">
        <is>
          <t>2026-09-30</t>
        </is>
      </c>
      <c r="M99" s="13" t="inlineStr">
        <is>
          <t>O mais caro é a obtenção dos dados; levá-los da rede de automação à TI pode ser caro e demorado.</t>
        </is>
      </c>
    </row>
    <row r="100">
      <c r="A100" s="12" t="inlineStr">
        <is>
          <t>F-0099</t>
        </is>
      </c>
      <c r="B100" s="13" t="inlineStr">
        <is>
          <t>Form 20-F 2020</t>
        </is>
      </c>
      <c r="C100" s="13" t="inlineStr">
        <is>
          <t>Petrobras (SEC)</t>
        </is>
      </c>
      <c r="D100" s="12" t="inlineStr">
        <is>
          <t>2021</t>
        </is>
      </c>
      <c r="E100" s="13" t="inlineStr">
        <is>
          <t>https://www.sec.gov/Archives/edgar/data/1119639/000129281421001152/pbraform20f_2020.htm</t>
        </is>
      </c>
      <c r="F100" s="13" t="inlineStr">
        <is>
          <t>relatório corporativo</t>
        </is>
      </c>
      <c r="G100" s="12" t="inlineStr">
        <is>
          <t>A</t>
        </is>
      </c>
      <c r="H100" s="13" t="inlineStr">
        <is>
          <t>aberto</t>
        </is>
      </c>
      <c r="I100" s="13" t="inlineStr">
        <is>
          <t>Petrobras</t>
        </is>
      </c>
      <c r="J100" s="13" t="inlineStr">
        <is>
          <t>1;2</t>
        </is>
      </c>
      <c r="K100" s="13" t="inlineStr">
        <is>
          <t>BIA-ACL-FM-01</t>
        </is>
      </c>
      <c r="L100" s="12" t="inlineStr">
        <is>
          <t>2026-09-30</t>
        </is>
      </c>
      <c r="M100" s="13" t="inlineStr">
        <is>
          <t>Diretoria Executiva de Transformação Digital e Inovação criada em set/2019; Centro de Excelência em Analytics e IA e plataforma integrada de dados do upstream em 2020.</t>
        </is>
      </c>
    </row>
    <row r="101">
      <c r="A101" s="12" t="inlineStr">
        <is>
          <t>F-0100</t>
        </is>
      </c>
      <c r="B101" s="13" t="inlineStr">
        <is>
          <t>Petrobras cria ferramenta com inteligência artificial generativa para apoiar mais de 100 mil trabalhadores</t>
        </is>
      </c>
      <c r="C101" s="13" t="inlineStr">
        <is>
          <t>Agência Petrobras</t>
        </is>
      </c>
      <c r="D101" s="12" t="inlineStr">
        <is>
          <t>2023-12-05</t>
        </is>
      </c>
      <c r="E101" s="13" t="inlineStr">
        <is>
          <t>https://agencia.petrobras.com.br/w/petrobras-cria-ferramenta-com-inteligencia-artificial-generativa-para-apoiar-mais-de-100-mil-trabalhadores</t>
        </is>
      </c>
      <c r="F101" s="13" t="inlineStr">
        <is>
          <t>comunicado oficial</t>
        </is>
      </c>
      <c r="G101" s="12" t="inlineStr">
        <is>
          <t>A</t>
        </is>
      </c>
      <c r="H101" s="13" t="inlineStr">
        <is>
          <t>aberto</t>
        </is>
      </c>
      <c r="I101" s="13" t="inlineStr">
        <is>
          <t>Petrobras</t>
        </is>
      </c>
      <c r="J101" s="13" t="inlineStr">
        <is>
          <t>1;2</t>
        </is>
      </c>
      <c r="K101" s="13" t="inlineStr">
        <is>
          <t>BIA-ACL-FM-01</t>
        </is>
      </c>
      <c r="L101" s="12" t="inlineStr">
        <is>
          <t>2026-09-30</t>
        </is>
      </c>
      <c r="M101" s="13" t="inlineStr">
        <is>
          <t>Assistente de IA generativa disponível para 110 mil trabalhadores (empregados e prestadores).</t>
        </is>
      </c>
    </row>
    <row r="102">
      <c r="A102" s="12" t="inlineStr">
        <is>
          <t>F-0101</t>
        </is>
      </c>
      <c r="B102" s="13" t="inlineStr">
        <is>
          <t>Petrobras e agentes de IA</t>
        </is>
      </c>
      <c r="C102" s="13" t="inlineStr">
        <is>
          <t>Mobile Time</t>
        </is>
      </c>
      <c r="D102" s="12" t="inlineStr">
        <is>
          <t>2025-05-14</t>
        </is>
      </c>
      <c r="E102" s="13" t="inlineStr">
        <is>
          <t>https://www.mobiletime.com.br/noticias/14/05/2025/petrobras-agentes-ia/</t>
        </is>
      </c>
      <c r="F102" s="13" t="inlineStr">
        <is>
          <t>imprensa</t>
        </is>
      </c>
      <c r="G102" s="12" t="inlineStr">
        <is>
          <t>B</t>
        </is>
      </c>
      <c r="H102" s="13" t="inlineStr">
        <is>
          <t>aberto</t>
        </is>
      </c>
      <c r="I102" s="13" t="inlineStr">
        <is>
          <t>Petrobras</t>
        </is>
      </c>
      <c r="J102" s="13" t="inlineStr">
        <is>
          <t>1;2;3</t>
        </is>
      </c>
      <c r="K102" s="13" t="inlineStr">
        <is>
          <t>BIA-ACL-FM-01</t>
        </is>
      </c>
      <c r="L102" s="12" t="inlineStr">
        <is>
          <t>2026-09-30</t>
        </is>
      </c>
      <c r="M102" s="13" t="inlineStr">
        <is>
          <t>Plataforma para publicar agentes de IA generativa, com cautela: padrões de agentes ainda não totalmente maduros.</t>
        </is>
      </c>
    </row>
    <row r="103">
      <c r="A103" s="12" t="inlineStr">
        <is>
          <t>F-0102</t>
        </is>
      </c>
      <c r="B103" s="13" t="inlineStr">
        <is>
          <t>Moderna and OpenAI Collaborate To Advance mRNA Medicine</t>
        </is>
      </c>
      <c r="C103" s="13" t="inlineStr">
        <is>
          <t>Moderna</t>
        </is>
      </c>
      <c r="D103" s="12" t="inlineStr">
        <is>
          <t>2024-04-24</t>
        </is>
      </c>
      <c r="E103" s="13" t="inlineStr">
        <is>
          <t>https://s29.q4cdn.com/435878511/files/doc_news/Moderna-and-OpenAI-Collaborate-To-Advance-mRNA-Medicine-2024.pdf</t>
        </is>
      </c>
      <c r="F103" s="13" t="inlineStr">
        <is>
          <t>comunicado oficial</t>
        </is>
      </c>
      <c r="G103" s="12" t="inlineStr">
        <is>
          <t>A</t>
        </is>
      </c>
      <c r="H103" s="13" t="inlineStr">
        <is>
          <t>aberto</t>
        </is>
      </c>
      <c r="I103" s="13" t="inlineStr">
        <is>
          <t>Moderna</t>
        </is>
      </c>
      <c r="J103" s="13" t="inlineStr">
        <is>
          <t>1;2</t>
        </is>
      </c>
      <c r="K103" s="13" t="inlineStr">
        <is>
          <t>BIA-ACL-FM-01</t>
        </is>
      </c>
      <c r="L103" s="12" t="inlineStr">
        <is>
          <t>2026-09-30</t>
        </is>
      </c>
      <c r="M103" s="13" t="inlineStr">
        <is>
          <t>Assistente próprio com mais de 80% de adoção interna (2023); mais de 750 assistentes especializados criados em poucos meses; a empresa associa a velocidade à base de dados construída desde a origem.</t>
        </is>
      </c>
    </row>
    <row r="104">
      <c r="A104" s="12" t="inlineStr">
        <is>
          <t>F-0103</t>
        </is>
      </c>
      <c r="B104" s="13" t="inlineStr">
        <is>
          <t>Centro de Inteligência Agrícola da SLC completa cinco anos</t>
        </is>
      </c>
      <c r="C104" s="13" t="inlineStr">
        <is>
          <t>SLC Agrícola (release publicado em Notícias Agrícolas)</t>
        </is>
      </c>
      <c r="D104" s="12" t="inlineStr">
        <is>
          <t>2024-09-27</t>
        </is>
      </c>
      <c r="E104" s="13" t="inlineStr">
        <is>
          <t>https://www.noticiasagricolas.com.br/noticias/agronegocio/385655-centro-de-inteligencia-agricola-da-slc-completa-cinco-anos-proporcionando-uma-agricultura-mais-eficiente-e-sustentavel.html</t>
        </is>
      </c>
      <c r="F104" s="13" t="inlineStr">
        <is>
          <t>comunicado oficial</t>
        </is>
      </c>
      <c r="G104" s="12" t="inlineStr">
        <is>
          <t>A</t>
        </is>
      </c>
      <c r="H104" s="13" t="inlineStr">
        <is>
          <t>aberto</t>
        </is>
      </c>
      <c r="I104" s="13" t="inlineStr">
        <is>
          <t>SLC Agrícola</t>
        </is>
      </c>
      <c r="J104" s="13" t="inlineStr">
        <is>
          <t>1;2;3</t>
        </is>
      </c>
      <c r="K104" s="13" t="inlineStr">
        <is>
          <t>BIA-ACL-FM-01</t>
        </is>
      </c>
      <c r="L104" s="12" t="inlineStr">
        <is>
          <t>2026-09-30</t>
        </is>
      </c>
      <c r="M104" s="13" t="inlineStr">
        <is>
          <t>Centro de Inteligência Agrícola criado em 2019; cobertura 4G em 100% das áreas das fazendas e data lake; economia de R$ 2 milhões para R$ 82 milhões em 2023; R$ 16,1 milhões investidos em 5 anos.</t>
        </is>
      </c>
    </row>
    <row r="105">
      <c r="A105" s="12" t="inlineStr">
        <is>
          <t>F-0104</t>
        </is>
      </c>
      <c r="B105" s="13" t="inlineStr">
        <is>
          <t>Relatório Anual de Sustentabilidade 2017/18</t>
        </is>
      </c>
      <c r="C105" s="13" t="inlineStr">
        <is>
          <t>São Martinho</t>
        </is>
      </c>
      <c r="D105" s="12" t="inlineStr">
        <is>
          <t>2018</t>
        </is>
      </c>
      <c r="E105" s="13" t="inlineStr">
        <is>
          <t>https://www.saomartinho.com.br/Download.aspx?Arquivo=0KPphi%2FhjYHruGs9g80smw%3D%3D&amp;IdCanal=E%2F5CI5hbGiTfjZ7mhu2y5w%3D%3D</t>
        </is>
      </c>
      <c r="F105" s="13" t="inlineStr">
        <is>
          <t>relatório corporativo</t>
        </is>
      </c>
      <c r="G105" s="12" t="inlineStr">
        <is>
          <t>A</t>
        </is>
      </c>
      <c r="H105" s="13" t="inlineStr">
        <is>
          <t>aberto</t>
        </is>
      </c>
      <c r="I105" s="13" t="inlineStr">
        <is>
          <t>São Martinho</t>
        </is>
      </c>
      <c r="J105" s="13" t="inlineStr">
        <is>
          <t>1;2;3</t>
        </is>
      </c>
      <c r="K105" s="13" t="inlineStr">
        <is>
          <t>BIA-ACL-FM-01</t>
        </is>
      </c>
      <c r="L105" s="12" t="inlineStr">
        <is>
          <t>2026-09-30</t>
        </is>
      </c>
      <c r="M105" s="13" t="inlineStr">
        <is>
          <t>Parceria para conectividade no campo desde 2015; Centro de Operações Agrícolas em implantação; rede 4G própria (R$ 40 milhões até 2020).</t>
        </is>
      </c>
    </row>
    <row r="106">
      <c r="A106" s="12" t="inlineStr">
        <is>
          <t>F-0105</t>
        </is>
      </c>
      <c r="B106" s="13" t="inlineStr">
        <is>
          <t>Relato Integrado 2025/26</t>
        </is>
      </c>
      <c r="C106" s="13" t="inlineStr">
        <is>
          <t>São Martinho</t>
        </is>
      </c>
      <c r="D106" s="12" t="inlineStr">
        <is>
          <t>2026</t>
        </is>
      </c>
      <c r="E106" s="13" t="inlineStr">
        <is>
          <t>https://www.saomartinho.com.br/Download.aspx?Arquivo=8rGueYhS%2B9fDqXheg2ZTaQ%3D%3D&amp;IdCanal=E%2F5CI5hbGiTfjZ7mhu2y5w%3D%3D</t>
        </is>
      </c>
      <c r="F106" s="13" t="inlineStr">
        <is>
          <t>relatório corporativo</t>
        </is>
      </c>
      <c r="G106" s="12" t="inlineStr">
        <is>
          <t>A</t>
        </is>
      </c>
      <c r="H106" s="13" t="inlineStr">
        <is>
          <t>aberto</t>
        </is>
      </c>
      <c r="I106" s="13" t="inlineStr">
        <is>
          <t>São Martinho</t>
        </is>
      </c>
      <c r="J106" s="13" t="inlineStr">
        <is>
          <t>1;2</t>
        </is>
      </c>
      <c r="K106" s="13" t="inlineStr">
        <is>
          <t>BIA-ACL-FM-01</t>
        </is>
      </c>
      <c r="L106" s="12" t="inlineStr">
        <is>
          <t>2026-09-30</t>
        </is>
      </c>
      <c r="M106" s="13" t="inlineStr">
        <is>
          <t>ERP modernizado e migrado para nuvem; Política de Uso de IA com 99% do público elegível treinado; copilotos de IA generativa integrados às ferramentas; plano de autonomia industrial com cerca de 65% dos processos mapeados.</t>
        </is>
      </c>
    </row>
    <row r="107">
      <c r="A107" s="12" t="inlineStr">
        <is>
          <t>F-0106</t>
        </is>
      </c>
      <c r="B107" s="13" t="inlineStr">
        <is>
          <t>São Martinho troca rede privativa por rede pública no campo</t>
        </is>
      </c>
      <c r="C107" s="13" t="inlineStr">
        <is>
          <t>Mobile Time</t>
        </is>
      </c>
      <c r="D107" s="12" t="inlineStr">
        <is>
          <t>2026-06-11</t>
        </is>
      </c>
      <c r="E107" s="13" t="inlineStr">
        <is>
          <t>https://www.mobiletime.com.br/noticias/11/06/2026/sao-martinho-rcp/</t>
        </is>
      </c>
      <c r="F107" s="13" t="inlineStr">
        <is>
          <t>imprensa</t>
        </is>
      </c>
      <c r="G107" s="12" t="inlineStr">
        <is>
          <t>B</t>
        </is>
      </c>
      <c r="H107" s="13" t="inlineStr">
        <is>
          <t>aberto</t>
        </is>
      </c>
      <c r="I107" s="13" t="inlineStr">
        <is>
          <t>São Martinho</t>
        </is>
      </c>
      <c r="J107" s="13" t="inlineStr">
        <is>
          <t>1;3</t>
        </is>
      </c>
      <c r="K107" s="13" t="inlineStr">
        <is>
          <t>BIA-ACL-FM-01</t>
        </is>
      </c>
      <c r="L107" s="12" t="inlineStr">
        <is>
          <t>2026-09-30</t>
        </is>
      </c>
      <c r="M107" s="13" t="inlineStr">
        <is>
          <t>Substituição da rede privativa construída há 8 anos pela rede pública de uma operadora até a safra 2027/28, por custo de manutenção contínua e compatibilidade de hardware.</t>
        </is>
      </c>
    </row>
    <row r="108">
      <c r="A108" s="12" t="inlineStr">
        <is>
          <t>F-0107</t>
        </is>
      </c>
      <c r="B108" s="13" t="inlineStr">
        <is>
          <t>Microsoft e Suzano desenvolvem IA generativa</t>
        </is>
      </c>
      <c r="C108" s="13" t="inlineStr">
        <is>
          <t>Suzano</t>
        </is>
      </c>
      <c r="D108" s="12" t="inlineStr">
        <is>
          <t>2025-04-23</t>
        </is>
      </c>
      <c r="E108" s="13" t="inlineStr">
        <is>
          <t>https://www.suzano.com.br/noticia/microsoft-e-suzano-desenvolvem-ia-generativa</t>
        </is>
      </c>
      <c r="F108" s="13" t="inlineStr">
        <is>
          <t>comunicado oficial</t>
        </is>
      </c>
      <c r="G108" s="12" t="inlineStr">
        <is>
          <t>A</t>
        </is>
      </c>
      <c r="H108" s="13" t="inlineStr">
        <is>
          <t>aberto</t>
        </is>
      </c>
      <c r="I108" s="13" t="inlineStr">
        <is>
          <t>Suzano</t>
        </is>
      </c>
      <c r="J108" s="13" t="inlineStr">
        <is>
          <t>1;2</t>
        </is>
      </c>
      <c r="K108" s="13" t="inlineStr">
        <is>
          <t>BIA-ACL-FM-01</t>
        </is>
      </c>
      <c r="L108" s="12" t="inlineStr">
        <is>
          <t>2026-09-30</t>
        </is>
      </c>
      <c r="M108" s="13" t="inlineStr">
        <is>
          <t>Assistente de IA generativa para o cozimento de celulose desde jun/2023; copiloto liberado a quase 50 mil colaboradores no 1º semestre de 2024.</t>
        </is>
      </c>
    </row>
    <row r="109">
      <c r="A109" s="12" t="inlineStr">
        <is>
          <t>F-0108</t>
        </is>
      </c>
      <c r="B109" s="13" t="inlineStr">
        <is>
          <t>Inovação tecnológica para prevenir incêndios florestais</t>
        </is>
      </c>
      <c r="C109" s="13" t="inlineStr">
        <is>
          <t>Suzano</t>
        </is>
      </c>
      <c r="D109" s="12" t="inlineStr">
        <is>
          <t>2026-08-28</t>
        </is>
      </c>
      <c r="E109" s="13" t="inlineStr">
        <is>
          <t>https://www.suzano.com.br/noticia/inovacao-tecnologica-para-prevenir-incendios-florestais</t>
        </is>
      </c>
      <c r="F109" s="13" t="inlineStr">
        <is>
          <t>comunicado oficial</t>
        </is>
      </c>
      <c r="G109" s="12" t="inlineStr">
        <is>
          <t>A</t>
        </is>
      </c>
      <c r="H109" s="13" t="inlineStr">
        <is>
          <t>aberto</t>
        </is>
      </c>
      <c r="I109" s="13" t="inlineStr">
        <is>
          <t>Suzano</t>
        </is>
      </c>
      <c r="J109" s="13" t="inlineStr">
        <is>
          <t>1;3</t>
        </is>
      </c>
      <c r="K109" s="13" t="inlineStr">
        <is>
          <t>BIA-ACL-FM-01</t>
        </is>
      </c>
      <c r="L109" s="12" t="inlineStr">
        <is>
          <t>2026-09-30</t>
        </is>
      </c>
      <c r="M109" s="13" t="inlineStr">
        <is>
          <t>Câmeras com IA detectam fumaça; 85% dos incêndios controlados no início nos últimos 3 anos; drones de longo alcance em avaliação.</t>
        </is>
      </c>
    </row>
    <row r="110">
      <c r="A110" s="12" t="inlineStr">
        <is>
          <t>F-0109</t>
        </is>
      </c>
      <c r="B110" s="13" t="inlineStr">
        <is>
          <t>Relatório de Sustentabilidade 2025</t>
        </is>
      </c>
      <c r="C110" s="13" t="inlineStr">
        <is>
          <t>Klabin</t>
        </is>
      </c>
      <c r="D110" s="12" t="inlineStr">
        <is>
          <t>2026</t>
        </is>
      </c>
      <c r="E110" s="13" t="inlineStr">
        <is>
          <t>https://rs2025.klabin.com.br/economia-sustentavel/seguranca-cibernetica</t>
        </is>
      </c>
      <c r="F110" s="13" t="inlineStr">
        <is>
          <t>relatório corporativo</t>
        </is>
      </c>
      <c r="G110" s="12" t="inlineStr">
        <is>
          <t>A</t>
        </is>
      </c>
      <c r="H110" s="13" t="inlineStr">
        <is>
          <t>aberto</t>
        </is>
      </c>
      <c r="I110" s="13" t="inlineStr">
        <is>
          <t>Klabin</t>
        </is>
      </c>
      <c r="J110" s="13" t="inlineStr">
        <is>
          <t>1;2</t>
        </is>
      </c>
      <c r="K110" s="13" t="inlineStr">
        <is>
          <t>BIA-ACL-FM-01</t>
        </is>
      </c>
      <c r="L110" s="12" t="inlineStr">
        <is>
          <t>2026-09-30</t>
        </is>
      </c>
      <c r="M110" s="13" t="inlineStr">
        <is>
          <t>Equipe multidisciplinar 'IA Office' desde 2024; mais de 300 demandas de IA, 18 selecionadas; assistente de IA generativa para todos os colaboradores; critérios para quando colaboradores criam agentes. Drones na aplicação de herbicidas e fertilizantes (seção Florestal).</t>
        </is>
      </c>
    </row>
    <row r="111">
      <c r="A111" s="12" t="inlineStr">
        <is>
          <t>F-0110</t>
        </is>
      </c>
      <c r="B111" s="13" t="inlineStr">
        <is>
          <t>Relatório Integrado 2023'24</t>
        </is>
      </c>
      <c r="C111" s="13" t="inlineStr">
        <is>
          <t>Raízen</t>
        </is>
      </c>
      <c r="D111" s="12" t="inlineStr">
        <is>
          <t>2024</t>
        </is>
      </c>
      <c r="E111" s="13" t="inlineStr">
        <is>
          <t>https://www.raizen.com.br/items-files/item-1212-relatorio-raizen-2023-24-1508.pdf</t>
        </is>
      </c>
      <c r="F111" s="13" t="inlineStr">
        <is>
          <t>relatório corporativo</t>
        </is>
      </c>
      <c r="G111" s="12" t="inlineStr">
        <is>
          <t>A</t>
        </is>
      </c>
      <c r="H111" s="13" t="inlineStr">
        <is>
          <t>aberto</t>
        </is>
      </c>
      <c r="I111" s="13" t="inlineStr">
        <is>
          <t>Raízen</t>
        </is>
      </c>
      <c r="J111" s="13" t="inlineStr">
        <is>
          <t>1;2;3</t>
        </is>
      </c>
      <c r="K111" s="13" t="inlineStr">
        <is>
          <t>BIA-ACL-FM-01</t>
        </is>
      </c>
      <c r="L111" s="12" t="inlineStr">
        <is>
          <t>2026-09-30</t>
        </is>
      </c>
      <c r="M111" s="13" t="inlineStr">
        <is>
          <t>Central de Integração Agroindustrial ('torre de controle') com cerca de 220 analistas 24 horas; previsão de safra com IA; drones mapeiam falhas de brotação; IA e satélite no combate a incêndios (tempo de chegada 27,6% menor).</t>
        </is>
      </c>
    </row>
    <row r="112">
      <c r="A112" s="12" t="inlineStr">
        <is>
          <t>F-0111</t>
        </is>
      </c>
      <c r="B112" s="13" t="inlineStr">
        <is>
          <t>BP Bunge investe mais de R$ 100 milhões em transformação digital no campo</t>
        </is>
      </c>
      <c r="C112" s="13" t="inlineStr">
        <is>
          <t>Telesíntese</t>
        </is>
      </c>
      <c r="D112" s="12" t="inlineStr">
        <is>
          <t>2024-04-29</t>
        </is>
      </c>
      <c r="E112" s="13" t="inlineStr">
        <is>
          <t>https://telesintese.com.br/bp-bunge-investe-mais-de-r-100-milhoes-em-transformacao-digital-no-campo/</t>
        </is>
      </c>
      <c r="F112" s="13" t="inlineStr">
        <is>
          <t>imprensa</t>
        </is>
      </c>
      <c r="G112" s="12" t="inlineStr">
        <is>
          <t>B</t>
        </is>
      </c>
      <c r="H112" s="13" t="inlineStr">
        <is>
          <t>aberto</t>
        </is>
      </c>
      <c r="I112" s="13" t="inlineStr">
        <is>
          <t>BP Bunge Bioenergia</t>
        </is>
      </c>
      <c r="J112" s="13" t="inlineStr">
        <is>
          <t>1;2</t>
        </is>
      </c>
      <c r="K112" s="13" t="inlineStr">
        <is>
          <t>BIA-ACL-FM-01</t>
        </is>
      </c>
      <c r="L112" s="12" t="inlineStr">
        <is>
          <t>2026-09-30</t>
        </is>
      </c>
      <c r="M112" s="13" t="inlineStr">
        <is>
          <t>98 torres 4G cobrindo 3 milhões de ha nas 11 unidades.</t>
        </is>
      </c>
    </row>
    <row r="113">
      <c r="A113" s="12" t="inlineStr">
        <is>
          <t>F-0112</t>
        </is>
      </c>
      <c r="B113" s="13" t="inlineStr">
        <is>
          <t>Atvos investe R$ 16 milhões em rede própria de 4G</t>
        </is>
      </c>
      <c r="C113" s="13" t="inlineStr">
        <is>
          <t>UDOP (nota da empresa)</t>
        </is>
      </c>
      <c r="D113" s="12" t="inlineStr">
        <is>
          <t>2025-04-30</t>
        </is>
      </c>
      <c r="E113" s="13" t="inlineStr">
        <is>
          <t>https://www.udop.com.br/noticia/2025/04/30/atvos-investe-r-16-milhoes-em-rede-propria-de-4g.html</t>
        </is>
      </c>
      <c r="F113" s="13" t="inlineStr">
        <is>
          <t>imprensa</t>
        </is>
      </c>
      <c r="G113" s="12" t="inlineStr">
        <is>
          <t>B</t>
        </is>
      </c>
      <c r="H113" s="13" t="inlineStr">
        <is>
          <t>aberto</t>
        </is>
      </c>
      <c r="I113" s="13" t="inlineStr">
        <is>
          <t>Atvos</t>
        </is>
      </c>
      <c r="J113" s="13" t="inlineStr">
        <is>
          <t>1;2</t>
        </is>
      </c>
      <c r="K113" s="13" t="inlineStr">
        <is>
          <t>BIA-ACL-FM-01</t>
        </is>
      </c>
      <c r="L113" s="12" t="inlineStr">
        <is>
          <t>2026-09-30</t>
        </is>
      </c>
      <c r="M113" s="13" t="inlineStr">
        <is>
          <t>Rede 4G própria em 8 usinas, 375 mil ha cobertos, meta de 500 mil; objetivo declarado de habilitar soluções autônomas e IA.</t>
        </is>
      </c>
    </row>
    <row r="114">
      <c r="A114" s="12" t="inlineStr">
        <is>
          <t>F-0113</t>
        </is>
      </c>
      <c r="B114" s="13" t="inlineStr">
        <is>
          <t>Conectividade no campo aumenta desempenho das fazendas da SLC Agrícola</t>
        </is>
      </c>
      <c r="C114" s="13" t="inlineStr">
        <is>
          <t>Revista Cultivar</t>
        </is>
      </c>
      <c r="D114" s="12" t="inlineStr">
        <is>
          <t>2020-06-08</t>
        </is>
      </c>
      <c r="E114" s="13" t="inlineStr">
        <is>
          <t>https://revistacultivar.com.br/noticias/conectividade-no-campo-aumenta-desempenho-das-fazendas-da-slc-agricola</t>
        </is>
      </c>
      <c r="F114" s="13" t="inlineStr">
        <is>
          <t>imprensa</t>
        </is>
      </c>
      <c r="G114" s="12" t="inlineStr">
        <is>
          <t>B</t>
        </is>
      </c>
      <c r="H114" s="13" t="inlineStr">
        <is>
          <t>aberto</t>
        </is>
      </c>
      <c r="I114" s="13" t="inlineStr">
        <is>
          <t>SLC Agrícola</t>
        </is>
      </c>
      <c r="J114" s="13" t="inlineStr">
        <is>
          <t>1;2;3</t>
        </is>
      </c>
      <c r="K114" s="13" t="inlineStr">
        <is>
          <t>BIA-ACL-FM-01</t>
        </is>
      </c>
      <c r="L114" s="12" t="inlineStr">
        <is>
          <t>2026-09-30</t>
        </is>
      </c>
      <c r="M114" s="13" t="inlineStr">
        <is>
          <t>Fala do CEO: 4G (700 MHz) em 5 unidades, cerca de 70 mil ha, em 2019; aplicação localizada com até 95% menos herbicida no controle pós-colheita.</t>
        </is>
      </c>
    </row>
    <row r="115">
      <c r="A115" s="12" t="inlineStr">
        <is>
          <t>F-0114</t>
        </is>
      </c>
      <c r="B115" s="13" t="inlineStr">
        <is>
          <t>bp bioenergy reduz incêndios em 50% e consolida modelo de prevenção baseado em IA</t>
        </is>
      </c>
      <c r="C115" s="13" t="inlineStr">
        <is>
          <t>Jornal Cana</t>
        </is>
      </c>
      <c r="D115" s="12" t="inlineStr">
        <is>
          <t>2026-07-10</t>
        </is>
      </c>
      <c r="E115" s="13" t="inlineStr">
        <is>
          <t>https://jornalcana.com.br/agricultura/tecnologia-agricola/bp-bioenergy-reduz-incendios-em-50-e-consolida-modelo-de-prevencao-baseado-em-ia</t>
        </is>
      </c>
      <c r="F115" s="13" t="inlineStr">
        <is>
          <t>imprensa</t>
        </is>
      </c>
      <c r="G115" s="12" t="inlineStr">
        <is>
          <t>B</t>
        </is>
      </c>
      <c r="H115" s="13" t="inlineStr">
        <is>
          <t>aberto</t>
        </is>
      </c>
      <c r="I115" s="13" t="inlineStr">
        <is>
          <t>BP Bunge Bioenergia</t>
        </is>
      </c>
      <c r="J115" s="13" t="inlineStr">
        <is>
          <t>1;2;3</t>
        </is>
      </c>
      <c r="K115" s="13" t="inlineStr">
        <is>
          <t>BIA-ACL-FM-01</t>
        </is>
      </c>
      <c r="L115" s="12" t="inlineStr">
        <is>
          <t>2026-09-30</t>
        </is>
      </c>
      <c r="M115" s="13" t="inlineStr">
        <is>
          <t>Prevenção de incêndio com IA (câmeras térmicas em torres e satélite), 2019–2025: incêndios 50% menores, área queimada 77% menor, tempo de resposta 66% menor.</t>
        </is>
      </c>
    </row>
    <row r="116">
      <c r="A116" s="12" t="inlineStr">
        <is>
          <t>F-0115</t>
        </is>
      </c>
      <c r="B116" s="13" t="inlineStr">
        <is>
          <t>Tem internet 4G a cada metro quadrado dos 350 mil hectares da São Martinho</t>
        </is>
      </c>
      <c r="C116" s="13" t="inlineStr">
        <is>
          <t>Canaonline</t>
        </is>
      </c>
      <c r="D116" s="12" t="inlineStr">
        <is>
          <t>2020-09-01</t>
        </is>
      </c>
      <c r="E116" s="13" t="inlineStr">
        <is>
          <t>https://www.canaonline.com.br/conteudo/tem-internet-4g-a-cada-metro-quadrado-dos-350-mil-hectares-da-sao-martinho.html</t>
        </is>
      </c>
      <c r="F116" s="13" t="inlineStr">
        <is>
          <t>imprensa</t>
        </is>
      </c>
      <c r="G116" s="12" t="inlineStr">
        <is>
          <t>B</t>
        </is>
      </c>
      <c r="H116" s="13" t="inlineStr">
        <is>
          <t>aberto</t>
        </is>
      </c>
      <c r="I116" s="13" t="inlineStr">
        <is>
          <t>São Martinho</t>
        </is>
      </c>
      <c r="J116" s="13" t="inlineStr">
        <is>
          <t>1;2;3</t>
        </is>
      </c>
      <c r="K116" s="13" t="inlineStr">
        <is>
          <t>BIA-ACL-FM-01</t>
        </is>
      </c>
      <c r="L116" s="12" t="inlineStr">
        <is>
          <t>2026-09-30</t>
        </is>
      </c>
      <c r="M116" s="13" t="inlineStr">
        <is>
          <t>Rede 4G própria cobrindo 350 mil ha nas 4 usinas em 2020; manutenção preditiva antecipa defeito em colhedora com 26 horas de antecedência.</t>
        </is>
      </c>
    </row>
    <row r="117">
      <c r="A117" s="12" t="inlineStr">
        <is>
          <t>F-0116</t>
        </is>
      </c>
      <c r="B117" s="13" t="inlineStr">
        <is>
          <t>Vale expects 21 autonomous drills running end-2021, passes 100 Mt hauled mark with AHS fleet at Brucutu</t>
        </is>
      </c>
      <c r="C117" s="13" t="inlineStr">
        <is>
          <t>International Mining</t>
        </is>
      </c>
      <c r="D117" s="12" t="inlineStr">
        <is>
          <t>2021-07-02</t>
        </is>
      </c>
      <c r="E117" s="13" t="inlineStr">
        <is>
          <t>https://im-mining.com/2021/07/02/vale-expects-21-autonomous-drills-running-end-2021-passes-100-mt-hauled-mark-ahs-fleet-brucutu/</t>
        </is>
      </c>
      <c r="F117" s="13" t="inlineStr">
        <is>
          <t>imprensa</t>
        </is>
      </c>
      <c r="G117" s="12" t="inlineStr">
        <is>
          <t>B</t>
        </is>
      </c>
      <c r="H117" s="13" t="inlineStr">
        <is>
          <t>aberto</t>
        </is>
      </c>
      <c r="I117" s="13" t="inlineStr">
        <is>
          <t>Vale</t>
        </is>
      </c>
      <c r="J117" s="13" t="inlineStr">
        <is>
          <t>1;2;3</t>
        </is>
      </c>
      <c r="K117" s="13" t="inlineStr">
        <is>
          <t>BIA-ACL-FM-01</t>
        </is>
      </c>
      <c r="L117" s="12" t="inlineStr">
        <is>
          <t>2026-09-30</t>
        </is>
      </c>
      <c r="M117" s="13" t="inlineStr">
        <is>
          <t>Caminhões autônomos em teste em Brucutu desde 2016; frota 100% autônoma (13 caminhões) desde 2019.</t>
        </is>
      </c>
    </row>
    <row r="118">
      <c r="A118" s="12" t="inlineStr">
        <is>
          <t>F-0117</t>
        </is>
      </c>
      <c r="B118" s="13" t="inlineStr">
        <is>
          <t>Atvos tem economia de R$ 5,8 milhões com CIA</t>
        </is>
      </c>
      <c r="C118" s="13" t="inlineStr">
        <is>
          <t>RPA News</t>
        </is>
      </c>
      <c r="D118" s="12" t="inlineStr">
        <is>
          <t>2020-11-17</t>
        </is>
      </c>
      <c r="E118" s="13" t="inlineStr">
        <is>
          <t>https://revistarpanews.com.br/atvos-tem-economia-de-r-58-milhoes-com-cia/</t>
        </is>
      </c>
      <c r="F118" s="13" t="inlineStr">
        <is>
          <t>imprensa</t>
        </is>
      </c>
      <c r="G118" s="12" t="inlineStr">
        <is>
          <t>B</t>
        </is>
      </c>
      <c r="H118" s="13" t="inlineStr">
        <is>
          <t>aberto</t>
        </is>
      </c>
      <c r="I118" s="13" t="inlineStr">
        <is>
          <t>Atvos</t>
        </is>
      </c>
      <c r="J118" s="13" t="inlineStr">
        <is>
          <t>1;2</t>
        </is>
      </c>
      <c r="K118" s="13" t="inlineStr">
        <is>
          <t>BIA-ACL-FM-01</t>
        </is>
      </c>
      <c r="L118" s="12" t="inlineStr">
        <is>
          <t>2026-09-30</t>
        </is>
      </c>
      <c r="M118" s="13" t="inlineStr">
        <is>
          <t>Centro de inteligência agrícola (Projeto Cubo) com operação remota de máquinas e torres de satélite onde não havia sinal; R$ 5,8 milhões de economia na 1ª fase.</t>
        </is>
      </c>
    </row>
    <row r="119">
      <c r="A119" s="12" t="inlineStr">
        <is>
          <t>F-0118</t>
        </is>
      </c>
      <c r="B119" s="13" t="inlineStr">
        <is>
          <t>Torre controla transporte de madeira da Klabin</t>
        </is>
      </c>
      <c r="C119" s="13" t="inlineStr">
        <is>
          <t>IT Forum</t>
        </is>
      </c>
      <c r="D119" s="12" t="inlineStr">
        <is>
          <t>2023-12-22</t>
        </is>
      </c>
      <c r="E119" s="13" t="inlineStr">
        <is>
          <t>https://itforum.com.br/noticias/torre-controla-transporte-de-madeira-da-klabin/</t>
        </is>
      </c>
      <c r="F119" s="13" t="inlineStr">
        <is>
          <t>imprensa</t>
        </is>
      </c>
      <c r="G119" s="12" t="inlineStr">
        <is>
          <t>B</t>
        </is>
      </c>
      <c r="H119" s="13" t="inlineStr">
        <is>
          <t>aberto</t>
        </is>
      </c>
      <c r="I119" s="13" t="inlineStr">
        <is>
          <t>Klabin</t>
        </is>
      </c>
      <c r="J119" s="13" t="inlineStr">
        <is>
          <t>1;2</t>
        </is>
      </c>
      <c r="K119" s="13" t="inlineStr">
        <is>
          <t>BIA-ACL-FM-01</t>
        </is>
      </c>
      <c r="L119" s="12" t="inlineStr">
        <is>
          <t>2026-09-30</t>
        </is>
      </c>
      <c r="M119" s="13" t="inlineStr">
        <is>
          <t>Torre de Controle Florestal implementada a partir de 2021, 24 horas, da colheita à fábrica; cerca de 700 caminhões e mais de 340 viagens por dia em 2023.</t>
        </is>
      </c>
    </row>
    <row r="120">
      <c r="A120" s="12" t="inlineStr">
        <is>
          <t>F-0119</t>
        </is>
      </c>
      <c r="B120" s="13" t="inlineStr">
        <is>
          <t>ChatGPT da Petrobras está disponível para toda companhia</t>
        </is>
      </c>
      <c r="C120" s="13" t="inlineStr">
        <is>
          <t>Mobile Time</t>
        </is>
      </c>
      <c r="D120" s="12" t="inlineStr">
        <is>
          <t>2024-02-09</t>
        </is>
      </c>
      <c r="E120" s="13" t="inlineStr">
        <is>
          <t>https://www.mobiletime.com.br/noticias/09/02/2024/chatgpt-da-petrobras-esta-disponivel-para-toda-companhia/</t>
        </is>
      </c>
      <c r="F120" s="13" t="inlineStr">
        <is>
          <t>imprensa</t>
        </is>
      </c>
      <c r="G120" s="12" t="inlineStr">
        <is>
          <t>B</t>
        </is>
      </c>
      <c r="H120" s="13" t="inlineStr">
        <is>
          <t>aberto</t>
        </is>
      </c>
      <c r="I120" s="13" t="inlineStr">
        <is>
          <t>Petrobras</t>
        </is>
      </c>
      <c r="J120" s="13" t="inlineStr">
        <is>
          <t>1;2</t>
        </is>
      </c>
      <c r="K120" s="13" t="inlineStr">
        <is>
          <t>BIA-ACL-FM-01</t>
        </is>
      </c>
      <c r="L120" s="12" t="inlineStr">
        <is>
          <t>2026-09-30</t>
        </is>
      </c>
      <c r="M120" s="13" t="inlineStr">
        <is>
          <t>O assistente de IA generativa começou a ser usado em jul/2023 por um grupo de 500 funcionários; 6 mil analistas e 400 cientistas formados.</t>
        </is>
      </c>
    </row>
    <row r="121">
      <c r="A121" s="12" t="inlineStr">
        <is>
          <t>F-0120</t>
        </is>
      </c>
      <c r="B121" s="13" t="inlineStr">
        <is>
          <t>Suzano: IA na floresta e crescimento dos negócios</t>
        </is>
      </c>
      <c r="C121" s="13" t="inlineStr">
        <is>
          <t>IT Forum</t>
        </is>
      </c>
      <c r="D121" s="12" t="inlineStr">
        <is>
          <t>2025-01-08</t>
        </is>
      </c>
      <c r="E121" s="13" t="inlineStr">
        <is>
          <t>https://itforum.com.br/noticias/suzano-ia-floresta-crescimento-negocios/</t>
        </is>
      </c>
      <c r="F121" s="13" t="inlineStr">
        <is>
          <t>imprensa</t>
        </is>
      </c>
      <c r="G121" s="12" t="inlineStr">
        <is>
          <t>B</t>
        </is>
      </c>
      <c r="H121" s="13" t="inlineStr">
        <is>
          <t>aberto</t>
        </is>
      </c>
      <c r="I121" s="13" t="inlineStr">
        <is>
          <t>Suzano</t>
        </is>
      </c>
      <c r="J121" s="13" t="inlineStr">
        <is>
          <t>1;2;3</t>
        </is>
      </c>
      <c r="K121" s="13" t="inlineStr"/>
      <c r="L121" s="12" t="inlineStr">
        <is>
          <t>2026-09-30</t>
        </is>
      </c>
      <c r="M121" s="13" t="inlineStr">
        <is>
          <t>Jornada de IA iniciada em 2019; 144 antenas de conectividade florestal (satélite e rádio); squads especializadas com democratização de dados e IA generativa.</t>
        </is>
      </c>
    </row>
    <row r="122">
      <c r="A122" s="12" t="inlineStr">
        <is>
          <t>F-0121</t>
        </is>
      </c>
      <c r="B122" s="13" t="inlineStr">
        <is>
          <t>Raízen inicia jornada de migração das áreas de negócios para a nuvem</t>
        </is>
      </c>
      <c r="C122" s="13" t="inlineStr">
        <is>
          <t>Microsoft News Brasil</t>
        </is>
      </c>
      <c r="D122" s="12" t="inlineStr">
        <is>
          <t>2021-12-20</t>
        </is>
      </c>
      <c r="E122" s="13" t="inlineStr">
        <is>
          <t>https://news.microsoft.com/pt-br/raizen-inicia-jornada-de-migracao-das-areas-de-negocios-para-a-nuvem-com-plataforma-microsoft/</t>
        </is>
      </c>
      <c r="F122" s="13" t="inlineStr">
        <is>
          <t>case de fornecedor</t>
        </is>
      </c>
      <c r="G122" s="12" t="inlineStr">
        <is>
          <t>B</t>
        </is>
      </c>
      <c r="H122" s="13" t="inlineStr">
        <is>
          <t>aberto</t>
        </is>
      </c>
      <c r="I122" s="13" t="inlineStr">
        <is>
          <t>Raízen</t>
        </is>
      </c>
      <c r="J122" s="13" t="inlineStr">
        <is>
          <t>1;2</t>
        </is>
      </c>
      <c r="K122" s="13" t="inlineStr"/>
      <c r="L122" s="12" t="inlineStr">
        <is>
          <t>2026-09-30</t>
        </is>
      </c>
      <c r="M122" s="13" t="inlineStr">
        <is>
          <t>Migração de todas as aplicações de negócio para nuvem pública, em projeto de 5 anos, iniciada em dez/2021.</t>
        </is>
      </c>
    </row>
    <row r="123">
      <c r="A123" s="12" t="inlineStr">
        <is>
          <t>F-0122</t>
        </is>
      </c>
      <c r="B123" s="13" t="inlineStr">
        <is>
          <t>Relato Integrado 2024/25</t>
        </is>
      </c>
      <c r="C123" s="13" t="inlineStr">
        <is>
          <t>São Martinho</t>
        </is>
      </c>
      <c r="D123" s="12" t="inlineStr">
        <is>
          <t>2025</t>
        </is>
      </c>
      <c r="E123" s="13" t="inlineStr">
        <is>
          <t>https://www.saomartinho.com.br/Download.aspx?Arquivo=C86s8NbJMDekm89cG9OFDA%3D%3D&amp;IdCanal=E%2F5CI5hbGiTfjZ7mhu2y5w%3D%3D</t>
        </is>
      </c>
      <c r="F123" s="13" t="inlineStr">
        <is>
          <t>relatório corporativo</t>
        </is>
      </c>
      <c r="G123" s="12" t="inlineStr">
        <is>
          <t>A</t>
        </is>
      </c>
      <c r="H123" s="13" t="inlineStr">
        <is>
          <t>aberto</t>
        </is>
      </c>
      <c r="I123" s="13" t="inlineStr">
        <is>
          <t>São Martinho</t>
        </is>
      </c>
      <c r="J123" s="13" t="inlineStr">
        <is>
          <t>1;2;3</t>
        </is>
      </c>
      <c r="K123" s="13" t="inlineStr"/>
      <c r="L123" s="12" t="inlineStr">
        <is>
          <t>2026-09-30</t>
        </is>
      </c>
      <c r="M123" s="13" t="inlineStr">
        <is>
          <t>IA para detectar fumaça (decisiva nas queimadas de 2024), controle avançado de processos industriais, falhas de plantio e visão computacional para pragas.</t>
        </is>
      </c>
    </row>
    <row r="124">
      <c r="A124" s="12" t="inlineStr">
        <is>
          <t>F-0123</t>
        </is>
      </c>
      <c r="B124" s="13" t="inlineStr">
        <is>
          <t>Resolução CD/ANPD nº 23, de 9 de dezembro de 2024 — Agenda Regulatória 2025–2026</t>
        </is>
      </c>
      <c r="C124" s="13" t="inlineStr">
        <is>
          <t>Autoridade Nacional de Proteção de Dados (ANPD)</t>
        </is>
      </c>
      <c r="D124" s="12" t="inlineStr">
        <is>
          <t>2024-12-09</t>
        </is>
      </c>
      <c r="E124" s="13" t="inlineStr">
        <is>
          <t>https://dspace.mj.gov.br/bitstream/1/14048/1/RES_ANPD_2024_23.html</t>
        </is>
      </c>
      <c r="F124" s="13" t="inlineStr">
        <is>
          <t>legislação</t>
        </is>
      </c>
      <c r="G124" s="12" t="inlineStr">
        <is>
          <t>A</t>
        </is>
      </c>
      <c r="H124" s="13" t="inlineStr">
        <is>
          <t>aberto</t>
        </is>
      </c>
      <c r="I124" s="13" t="inlineStr"/>
      <c r="J124" s="13" t="inlineStr">
        <is>
          <t>3</t>
        </is>
      </c>
      <c r="K124" s="13" t="inlineStr">
        <is>
          <t>BIA-ACL-FM-01</t>
        </is>
      </c>
      <c r="L124" s="12" t="inlineStr">
        <is>
          <t>2026-09-30</t>
        </is>
      </c>
      <c r="M124" s="13" t="inlineStr">
        <is>
          <t>Item 7, Inteligência Artificial (fase 1): parâmetros para o art. 20 da LGPD (revisão de decisões automatizadas) e tratamento de dados pessoais no treinamento e uso de sistemas de IA.</t>
        </is>
      </c>
    </row>
  </sheetData>
  <autoFilter ref="A1:M124"/>
  <pageMargins left="0.75" right="0.75" top="1" bottom="1" header="0.5" footer="0.5"/>
  <pageSetup orientation="landscape" fitToHeight="0" fitToWidth="1"/>
  <headerFooter>
    <oddHeader/>
    <oddFooter>&amp;C&amp;8 Acelen Energia Renovável · Base de dados do benchmark · BIA-ACL-BD-01 · Rev. 00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OagronomIA</dc:creator>
  <dc:title>Base de dados do benchmark — Benchmarking de uso de IA</dc:title>
  <dcterms:created xsi:type="dcterms:W3CDTF">2026-09-30T00:00:00Z</dcterms:created>
  <dcterms:modified xsi:type="dcterms:W3CDTF">2026-09-30T15:26:36Z</dcterms:modified>
</cp:coreProperties>
</file>